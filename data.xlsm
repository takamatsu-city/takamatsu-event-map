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AE6600E7-7A62-396C-DE95-9942FA9DD81E}"/>
  <workbookPr codeName="ThisWorkbook"/>
  <mc:AlternateContent xmlns:mc="http://schemas.openxmlformats.org/markup-compatibility/2006">
    <mc:Choice Requires="x15">
      <x15ac:absPath xmlns:x15ac="http://schemas.microsoft.com/office/spreadsheetml/2010/11/ac" url="/Users/naoppy/geolonia/takamatsu-area-map/"/>
    </mc:Choice>
  </mc:AlternateContent>
  <xr:revisionPtr revIDLastSave="0" documentId="13_ncr:1_{FE79B6F5-84B8-EB4A-A221-B0326802D4F5}" xr6:coauthVersionLast="36" xr6:coauthVersionMax="47" xr10:uidLastSave="{00000000-0000-0000-0000-000000000000}"/>
  <bookViews>
    <workbookView xWindow="0" yWindow="500" windowWidth="38400" windowHeight="19420" xr2:uid="{00000000-000D-0000-FFFF-FFFF00000000}"/>
  </bookViews>
  <sheets>
    <sheet name="data"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81029"/>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<sst xmlns="http://schemas.openxmlformats.org/spreadsheetml/2006/main" count="861" uniqueCount="299">
  <si>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</si>
  <si>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</si>
  <si>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</si>
  <si>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</si>
  <si>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</si>
  <si>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</si>
  <si>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</si>
  <si>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</si>
  <si>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</si>
  <si>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</si>
  <si>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</si>
  <si>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</si>
  <si>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</si>
  <si>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</si>
  <si>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</si>
  <si>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</si>
  <si>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</si>
  <si>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</si>
  <si>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</si>
  <si>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</si>
  <si>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</si>
  <si>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</si>
  <si>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</si>
  <si>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</si>
  <si>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</si>
  <si>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</si>
  <si>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</si>
  <si>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</si>
  <si>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</si>
  <si>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</si>
  <si>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</si>
  <si>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</si>
  <si>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</si>
  <si>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</si>
  <si>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</si>
  <si>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</si>
  <si>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</si>
  <si>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</si>
  <si>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</si>
  <si>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</si>
  <si>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</si>
  <si>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</si>
  <si>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</si>
  <si>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</si>
  <si>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</si>
  <si>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</si>
  <si>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</si>
  <si>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</si>
  <si>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</si>
  <si>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</si>
  <si>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</si>
  <si>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</si>
  <si>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</si>
  <si>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</si>
  <si>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</si>
  <si>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</si>
  <si>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</si>
  <si>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</si>
  <si>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</si>
  <si>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</si>
  <si>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</si>
  <si>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</si>
  <si>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</si>
  <si>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</si>
  <si>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</si>
  <si>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</si>
  <si>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</si>
  <si>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</si>
  <si>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</si>
  <si>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</si>
  <si>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</si>
  <si>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</si>
  <si>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</si>
  <si>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</si>
  <si>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</si>
  <si>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</si>
  <si>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</si>
  <si>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</si>
  <si>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</si>
  <si>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</si>
  <si>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</si>
  <si>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</si>
  <si>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</si>
  <si>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</si>
  <si>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</si>
  <si>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</si>
  <si>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</si>
  <si>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</si>
  <si>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</si>
  <si>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</si>
  <si>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</si>
  <si>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</si>
  <si>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</si>
  <si>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</si>
  <si>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</si>
  <si>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</si>
  <si>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</si>
  <si>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</si>
  <si>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</si>
  <si>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</si>
  <si>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</si>
  <si>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</si>
  <si>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</si>
  <si>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</si>
  <si>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</si>
  <si>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</si>
  <si>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</si>
  <si>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</si>
  <si>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</si>
  <si>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</si>
  <si>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</si>
  <si>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</si>
  <si>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</si>
  <si>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</si>
  <si>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</si>
  <si>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</si>
  <si>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</si>
  <si>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</si>
  <si>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</si>
  <si>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</si>
  <si>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</si>
  <si>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</si>
  <si>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</si>
  <si>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</si>
  <si>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</si>
  <si>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</si>
  <si>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</si>
  <si>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</si>
  <si>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</si>
  <si>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</si>
  <si>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</si>
  <si>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</si>
  <si>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</si>
  <si>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</si>
  <si>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</si>
  <si>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</si>
  <si>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</si>
  <si>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</si>
  <si>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</si>
  <si>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</si>
  <si>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</si>
  <si>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</si>
  <si>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</si>
  <si>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</si>
  <si>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</si>
  <si>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</si>
  <si>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</si>
  <si>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</si>
  <si>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</si>
  <si>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</si>
  <si>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</si>
  <si>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</si>
  <si>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</si>
  <si>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</si>
  <si>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</si>
  <si>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</si>
  <si>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</si>
  <si>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</si>
  <si>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</si>
  <si>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</si>
  <si>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</si>
  <si>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</si>
  <si>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</si>
  <si>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</si>
  <si>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</si>
  <si>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</si>
  <si>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</si>
  <si>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</si>
  <si>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</si>
  <si>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</si>
  <si>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</si>
  <si>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</si>
  <si>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</si>
  <si>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</si>
  <si>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</si>
  <si>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</si>
  <si>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</si>
  <si>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</si>
  <si>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</si>
  <si>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</si>
  <si>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</si>
  <si>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</si>
  <si>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</si>
  <si>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</si>
  <si>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</si>
  <si>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</si>
  <si>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</si>
  <si>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</si>
  <si>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</si>
  <si>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</si>
  <si>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</si>
  <si>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</si>
  <si>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</si>
  <si>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</si>
  <si>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</si>
  <si>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</si>
  <si>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</si>
  <si>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</si>
  <si>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</si>
  <si>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</si>
  <si>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</si>
  <si>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</si>
  <si>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</si>
  <si>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</si>
  <si>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</si>
  <si>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</si>
  <si>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</si>
  <si>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</si>
  <si>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</si>
  <si>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</si>
  <si>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</si>
  <si>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</si>
  <si>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</si>
  <si>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</si>
  <si>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</si>
  <si>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</si>
  <si>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</si>
  <si>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</si>
  <si>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</si>
  <si>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</si>
  <si>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</si>
  <si>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</si>
  <si>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</si>
  <si>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</si>
  <si>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</si>
  <si>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</si>
  <si>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</si>
  <si>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</si>
  <si>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</si>
  <si>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</si>
  <si>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</si>
  <si>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</si>
  <si>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</si>
  <si>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</si>
  <si>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</si>
  <si>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</si>
  <si>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</si>
  <si>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</si>
  <si>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</si>
  <si>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</si>
  <si>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</si>
  <si>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</si>
  <si>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</si>
  <si>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</si>
  <si>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</si>
  <si>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</si>
  <si>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</si>
  <si>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</si>
  <si>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</si>
  <si>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</si>
  <si>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</si>
  <si>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</si>
  <si>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</si>
  <si>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</si>
  <si>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</si>
  <si>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</si>
  <si>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カヌレmisora</t>
    <phoneticPr fontId="2"/>
  </si>
  <si>
    <t>出来立てのカヌレが味わえるキッチンカー
ガスオーブンを搭載したキッチンカーで焼き上げるカヌレは、作ったその日にしか味わえない、外側はカリッと、中はモチモチとした食感を楽しめます。</t>
    <phoneticPr fontId="2"/>
  </si>
  <si>
    <t>https://www.kensanpin.org/marche/project/canelemisora/</t>
    <phoneticPr fontId="2"/>
  </si>
  <si>
    <t>マルシェ、食事、スイーツ</t>
    <rPh sb="5" eb="7">
      <t>ショクジ</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</si>
  <si>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</si>
  <si>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</si>
  <si>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studio yuj（スタジオ ユジュ）</t>
    <phoneticPr fontId="2"/>
  </si>
  <si>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</si>
  <si>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phoneticPr fontId="2"/>
  </si>
  <si>
    <t>マルシェ、食事、スイーツ、お弁当</t>
    <rPh sb="14" eb="16">
      <t>ベントウ</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</si>
  <si>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</si>
  <si>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</si>
  <si>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</si>
  <si>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</si>
  <si>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</si>
  <si>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</si>
  <si>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</si>
  <si>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</si>
  <si>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</si>
  <si>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</si>
  <si>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</si>
  <si>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</si>
  <si>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</si>
  <si>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</si>
  <si>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テストイベント玉藻公園</t>
    <rPh sb="7" eb="11">
      <t>タマモコウエン</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</si>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</sst>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0">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NULL"/><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18" Type="http://schemas.openxmlformats.org/officeDocument/2006/relationships/printerSettings" Target="../printerSettings/printerSettings1.bin"/><Relationship Id="rId3" Type="http://schemas.openxmlformats.org/officeDocument/2006/relationships/hyperlink" Target="https://www.kensanpin.org/marche/project/canelemisora/" TargetMode="External"/><Relationship Id="rId7"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2" Type="http://schemas.openxmlformats.org/officeDocument/2006/relationships/hyperlink" Target="https://www.kensanpin.org/marche/project/harapeko/" TargetMode="External"/><Relationship Id="rId16"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6" Type="http://schemas.openxmlformats.org/officeDocument/2006/relationships/hyperlink" Target="https://www.city.takamatsu.kagawa.jp/" TargetMode="External"/><Relationship Id="rId11"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1BF1-4B39-4C64-A84F-4B5D07F182D0}">
  <sheetPr codeName="Sheet1">
    <pageSetUpPr fitToPage="1"/>
  </sheetPr>
  <dimension ref="A1:AM500"/>
  <sheetViews>
    <sheetView tabSelected="1" topLeftCell="B1" zoomScaleNormal="100" workbookViewId="0">
      <pane ySplit="6" topLeftCell="A19" activePane="bottomLeft" state="frozen"/>
      <selection pane="bottomLeft" activeCell="J23" sqref="J23"/>
    </sheetView>
  </sheetViews>
  <sheetFormatPr baseColWidth="10" defaultColWidth="14.5" defaultRowHeight="15"/>
  <cols>
    <col min="1" max="1" width="14.5" style="34" hidden="1" customWidth="1"/>
    <col min="2" max="2" width="12" style="34" bestFit="1" customWidth="1"/>
    <col min="3" max="6" width="18.5" style="34" customWidth="1"/>
    <col min="7" max="9" width="36.6640625" style="34" customWidth="1"/>
    <col min="10" max="10" width="15.1640625" style="34" customWidth="1"/>
    <col min="11" max="13" width="14.5" style="34" bestFit="1" customWidth="1"/>
    <col min="14" max="14" width="18.1640625" style="63" customWidth="1"/>
    <col min="15" max="15" width="43.33203125" style="63" customWidth="1"/>
    <col min="16" max="16" width="14.5" style="34" bestFit="1" customWidth="1"/>
    <col min="17" max="17" width="30.33203125" style="63" customWidth="1"/>
    <col min="18" max="18" width="38.33203125" style="34" bestFit="1" customWidth="1"/>
    <col min="19" max="19" width="20.83203125" style="34" bestFit="1" customWidth="1"/>
    <col min="20" max="20" width="20.33203125" style="34" bestFit="1" customWidth="1"/>
    <col min="21" max="22" width="38.1640625" style="34" customWidth="1"/>
    <col min="23" max="23" width="40.1640625" style="34" customWidth="1"/>
    <col min="24" max="24" width="14.5" style="34" bestFit="1" customWidth="1"/>
    <col min="25" max="25" width="21.6640625" style="34" bestFit="1" customWidth="1"/>
    <col min="26" max="26" width="23" style="34" bestFit="1" customWidth="1"/>
    <col min="27" max="27" width="35.33203125" style="34" customWidth="1"/>
    <col min="28" max="32" width="14.5" style="34" bestFit="1" customWidth="1"/>
    <col min="33" max="33" width="31.1640625" style="63" customWidth="1"/>
    <col min="34" max="34" width="16.5" style="34" bestFit="1" customWidth="1"/>
    <col min="35" max="36" width="14.5" style="34"/>
    <col min="37" max="37" width="14.5" style="34" bestFit="1" customWidth="1"/>
    <col min="38" max="38" width="34.83203125" style="34" customWidth="1"/>
    <col min="39" max="39" width="43.33203125" style="34" customWidth="1"/>
    <col min="40" max="16384" width="14.5" style="34"/>
  </cols>
  <sheetData>
    <row r="1" spans="1:39" ht="32">
      <c r="A1" s="39" t="s">
        <v>203</v>
      </c>
      <c r="B1" s="39" t="s">
        <v>295</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ht="16">
      <c r="A3" s="39"/>
      <c r="B3" s="39" t="s">
        <v>286</v>
      </c>
      <c r="C3" s="40" t="s">
        <v>285</v>
      </c>
      <c r="D3" s="40" t="s">
        <v>285</v>
      </c>
      <c r="E3" s="40" t="s">
        <v>285</v>
      </c>
      <c r="F3" s="40" t="s">
        <v>285</v>
      </c>
      <c r="G3" s="41" t="s">
        <v>286</v>
      </c>
      <c r="H3" s="40" t="s">
        <v>285</v>
      </c>
      <c r="I3" s="40" t="s">
        <v>285</v>
      </c>
      <c r="J3" s="41" t="s">
        <v>286</v>
      </c>
      <c r="K3" s="41" t="s">
        <v>286</v>
      </c>
      <c r="L3" s="42" t="s">
        <v>287</v>
      </c>
      <c r="M3" s="42" t="s">
        <v>287</v>
      </c>
      <c r="N3" s="42" t="s">
        <v>287</v>
      </c>
      <c r="O3" s="41" t="s">
        <v>286</v>
      </c>
      <c r="P3" s="41" t="s">
        <v>287</v>
      </c>
      <c r="Q3" s="41" t="s">
        <v>287</v>
      </c>
      <c r="R3" s="41" t="s">
        <v>287</v>
      </c>
      <c r="S3" s="41" t="s">
        <v>287</v>
      </c>
      <c r="T3" s="41" t="s">
        <v>285</v>
      </c>
      <c r="U3" s="41" t="s">
        <v>286</v>
      </c>
      <c r="V3" s="41" t="s">
        <v>286</v>
      </c>
      <c r="W3" s="41" t="s">
        <v>286</v>
      </c>
      <c r="X3" s="41" t="s">
        <v>287</v>
      </c>
      <c r="Y3" s="41" t="s">
        <v>286</v>
      </c>
      <c r="Z3" s="41" t="s">
        <v>286</v>
      </c>
      <c r="AA3" s="41" t="s">
        <v>287</v>
      </c>
      <c r="AB3" s="41" t="s">
        <v>288</v>
      </c>
      <c r="AC3" s="41" t="s">
        <v>288</v>
      </c>
      <c r="AD3" s="41" t="s">
        <v>288</v>
      </c>
      <c r="AE3" s="41" t="s">
        <v>288</v>
      </c>
      <c r="AF3" s="41" t="s">
        <v>288</v>
      </c>
      <c r="AG3" s="41" t="s">
        <v>287</v>
      </c>
      <c r="AH3" s="41" t="s">
        <v>286</v>
      </c>
      <c r="AI3" s="41" t="s">
        <v>286</v>
      </c>
      <c r="AJ3" s="41" t="s">
        <v>286</v>
      </c>
      <c r="AK3" s="41" t="s">
        <v>286</v>
      </c>
      <c r="AL3" s="41" t="s">
        <v>286</v>
      </c>
      <c r="AM3" s="41" t="s">
        <v>287</v>
      </c>
    </row>
    <row r="4" spans="1:39" ht="32">
      <c r="A4" s="39" t="s">
        <v>165</v>
      </c>
      <c r="B4" s="93" t="s">
        <v>296</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32">
      <c r="A5" s="39" t="s">
        <v>204</v>
      </c>
      <c r="B5" s="93" t="s">
        <v>297</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7" thickBot="1">
      <c r="A6" s="45" t="s">
        <v>205</v>
      </c>
      <c r="B6" s="94">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65" thickTop="1">
      <c r="A7" s="51"/>
      <c r="B7" s="38">
        <v>0</v>
      </c>
      <c r="C7" s="76">
        <v>372013</v>
      </c>
      <c r="D7" s="76" t="s">
        <v>161</v>
      </c>
      <c r="E7" s="76" t="s">
        <v>162</v>
      </c>
      <c r="F7" s="76" t="s">
        <v>163</v>
      </c>
      <c r="G7" s="53" t="s">
        <v>245</v>
      </c>
      <c r="H7" s="79"/>
      <c r="I7" s="79"/>
      <c r="J7" s="90">
        <v>45095</v>
      </c>
      <c r="K7" s="90">
        <v>45095</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7"/>
      <c r="AE7" s="88"/>
      <c r="AF7" s="79"/>
      <c r="AG7" s="74" t="s">
        <v>251</v>
      </c>
      <c r="AH7" s="53" t="s">
        <v>293</v>
      </c>
      <c r="AI7" s="53" t="s">
        <v>238</v>
      </c>
      <c r="AJ7" s="53" t="s">
        <v>232</v>
      </c>
      <c r="AK7" s="53">
        <v>1</v>
      </c>
      <c r="AL7" s="53" t="s">
        <v>252</v>
      </c>
      <c r="AM7" s="52"/>
    </row>
    <row r="8" spans="1:39" ht="64">
      <c r="A8" s="38"/>
      <c r="B8" s="38">
        <v>0</v>
      </c>
      <c r="C8" s="77">
        <v>372013</v>
      </c>
      <c r="D8" s="77" t="s">
        <v>161</v>
      </c>
      <c r="E8" s="77" t="s">
        <v>162</v>
      </c>
      <c r="F8" s="77" t="s">
        <v>163</v>
      </c>
      <c r="G8" s="67" t="s">
        <v>253</v>
      </c>
      <c r="H8" s="80"/>
      <c r="I8" s="81"/>
      <c r="J8" s="91">
        <v>45095</v>
      </c>
      <c r="K8" s="91">
        <v>45095</v>
      </c>
      <c r="L8" s="69" t="s">
        <v>240</v>
      </c>
      <c r="M8" s="70" t="s">
        <v>242</v>
      </c>
      <c r="N8" s="71" t="s">
        <v>244</v>
      </c>
      <c r="O8" s="71" t="s">
        <v>260</v>
      </c>
      <c r="P8" s="68">
        <v>800</v>
      </c>
      <c r="Q8" s="71" t="s">
        <v>261</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294</v>
      </c>
      <c r="AI8" s="68" t="s">
        <v>227</v>
      </c>
      <c r="AJ8" s="68" t="s">
        <v>232</v>
      </c>
      <c r="AK8" s="68">
        <v>0</v>
      </c>
      <c r="AL8" s="68" t="s">
        <v>255</v>
      </c>
      <c r="AM8" s="38"/>
    </row>
    <row r="9" spans="1:39" ht="64">
      <c r="A9" s="38"/>
      <c r="B9" s="38">
        <v>0</v>
      </c>
      <c r="C9" s="77">
        <v>372013</v>
      </c>
      <c r="D9" s="77" t="s">
        <v>161</v>
      </c>
      <c r="E9" s="77" t="s">
        <v>162</v>
      </c>
      <c r="F9" s="77" t="s">
        <v>163</v>
      </c>
      <c r="G9" s="67" t="s">
        <v>256</v>
      </c>
      <c r="H9" s="80"/>
      <c r="I9" s="81"/>
      <c r="J9" s="91">
        <v>45095</v>
      </c>
      <c r="K9" s="91">
        <v>45095</v>
      </c>
      <c r="L9" s="69" t="s">
        <v>240</v>
      </c>
      <c r="M9" s="70" t="s">
        <v>242</v>
      </c>
      <c r="N9" s="71" t="s">
        <v>244</v>
      </c>
      <c r="O9" s="71" t="s">
        <v>257</v>
      </c>
      <c r="P9" s="68">
        <v>800</v>
      </c>
      <c r="Q9" s="71" t="s">
        <v>261</v>
      </c>
      <c r="R9" s="67" t="s">
        <v>256</v>
      </c>
      <c r="S9" s="68"/>
      <c r="T9" s="78"/>
      <c r="U9" s="67" t="s">
        <v>256</v>
      </c>
      <c r="V9" s="55" t="s">
        <v>249</v>
      </c>
      <c r="W9" s="55" t="s">
        <v>250</v>
      </c>
      <c r="X9" s="38"/>
      <c r="Y9" s="73">
        <v>34.352062237460899</v>
      </c>
      <c r="Z9" s="73">
        <v>134.04658032526501</v>
      </c>
      <c r="AA9" s="68" t="s">
        <v>237</v>
      </c>
      <c r="AB9" s="78"/>
      <c r="AC9" s="78"/>
      <c r="AD9" s="78"/>
      <c r="AE9" s="78"/>
      <c r="AF9" s="78"/>
      <c r="AG9" s="64" t="s">
        <v>258</v>
      </c>
      <c r="AH9" s="68" t="s">
        <v>215</v>
      </c>
      <c r="AI9" s="68" t="s">
        <v>227</v>
      </c>
      <c r="AJ9" s="68" t="s">
        <v>232</v>
      </c>
      <c r="AK9" s="68">
        <v>0</v>
      </c>
      <c r="AL9" s="68" t="s">
        <v>259</v>
      </c>
      <c r="AM9" s="38"/>
    </row>
    <row r="10" spans="1:39" ht="80">
      <c r="A10" s="38"/>
      <c r="B10" s="38">
        <v>0</v>
      </c>
      <c r="C10" s="77">
        <v>372013</v>
      </c>
      <c r="D10" s="77" t="s">
        <v>161</v>
      </c>
      <c r="E10" s="77" t="s">
        <v>162</v>
      </c>
      <c r="F10" s="77" t="s">
        <v>163</v>
      </c>
      <c r="G10" s="38" t="s">
        <v>262</v>
      </c>
      <c r="H10" s="78"/>
      <c r="I10" s="82"/>
      <c r="J10" s="91">
        <v>45095</v>
      </c>
      <c r="K10" s="91">
        <v>45095</v>
      </c>
      <c r="L10" s="69" t="s">
        <v>240</v>
      </c>
      <c r="M10" s="70" t="s">
        <v>242</v>
      </c>
      <c r="N10" s="71" t="s">
        <v>244</v>
      </c>
      <c r="O10" s="55" t="s">
        <v>263</v>
      </c>
      <c r="P10" s="68">
        <v>800</v>
      </c>
      <c r="Q10" s="71" t="s">
        <v>261</v>
      </c>
      <c r="R10" s="38" t="s">
        <v>262</v>
      </c>
      <c r="S10" s="68"/>
      <c r="T10" s="78"/>
      <c r="U10" s="38" t="s">
        <v>262</v>
      </c>
      <c r="V10" s="55" t="s">
        <v>249</v>
      </c>
      <c r="W10" s="55" t="s">
        <v>250</v>
      </c>
      <c r="X10" s="38"/>
      <c r="Y10" s="73">
        <v>34.352101194121097</v>
      </c>
      <c r="Z10" s="73">
        <v>134.046419199984</v>
      </c>
      <c r="AA10" s="68" t="s">
        <v>237</v>
      </c>
      <c r="AB10" s="78"/>
      <c r="AC10" s="78"/>
      <c r="AD10" s="78"/>
      <c r="AE10" s="78"/>
      <c r="AF10" s="78"/>
      <c r="AG10" s="64" t="s">
        <v>264</v>
      </c>
      <c r="AH10" s="68" t="s">
        <v>215</v>
      </c>
      <c r="AI10" s="68" t="s">
        <v>227</v>
      </c>
      <c r="AJ10" s="68" t="s">
        <v>232</v>
      </c>
      <c r="AK10" s="68">
        <v>0</v>
      </c>
      <c r="AL10" s="68" t="s">
        <v>265</v>
      </c>
      <c r="AM10" s="38"/>
    </row>
    <row r="11" spans="1:39" ht="80">
      <c r="A11" s="38"/>
      <c r="B11" s="38">
        <v>0</v>
      </c>
      <c r="C11" s="77">
        <v>372013</v>
      </c>
      <c r="D11" s="77" t="s">
        <v>161</v>
      </c>
      <c r="E11" s="77" t="s">
        <v>162</v>
      </c>
      <c r="F11" s="77" t="s">
        <v>163</v>
      </c>
      <c r="G11" s="38" t="s">
        <v>271</v>
      </c>
      <c r="H11" s="78"/>
      <c r="I11" s="82"/>
      <c r="J11" s="91">
        <v>45083</v>
      </c>
      <c r="K11" s="91">
        <v>45083</v>
      </c>
      <c r="L11" s="69" t="s">
        <v>240</v>
      </c>
      <c r="M11" s="70" t="s">
        <v>242</v>
      </c>
      <c r="N11" s="71" t="s">
        <v>244</v>
      </c>
      <c r="O11" s="55" t="s">
        <v>284</v>
      </c>
      <c r="P11" s="38">
        <v>1000</v>
      </c>
      <c r="Q11" s="55" t="s">
        <v>267</v>
      </c>
      <c r="R11" s="38" t="s">
        <v>266</v>
      </c>
      <c r="S11" s="38" t="s">
        <v>268</v>
      </c>
      <c r="T11" s="78"/>
      <c r="U11" s="38" t="s">
        <v>266</v>
      </c>
      <c r="V11" s="55" t="s">
        <v>249</v>
      </c>
      <c r="W11" s="55" t="s">
        <v>250</v>
      </c>
      <c r="X11" s="38"/>
      <c r="Y11" s="60">
        <v>34.352128748821002</v>
      </c>
      <c r="Z11" s="60">
        <v>134.04653774215501</v>
      </c>
      <c r="AA11" s="68" t="s">
        <v>237</v>
      </c>
      <c r="AB11" s="78"/>
      <c r="AC11" s="78"/>
      <c r="AD11" s="78"/>
      <c r="AE11" s="78"/>
      <c r="AF11" s="78"/>
      <c r="AG11" s="64" t="s">
        <v>269</v>
      </c>
      <c r="AH11" s="68" t="s">
        <v>213</v>
      </c>
      <c r="AI11" s="68" t="s">
        <v>225</v>
      </c>
      <c r="AJ11" s="68" t="s">
        <v>232</v>
      </c>
      <c r="AK11" s="68">
        <v>0</v>
      </c>
      <c r="AL11" s="68" t="s">
        <v>270</v>
      </c>
      <c r="AM11" s="38"/>
    </row>
    <row r="12" spans="1:39" ht="80">
      <c r="A12" s="38"/>
      <c r="B12" s="38">
        <v>0</v>
      </c>
      <c r="C12" s="77">
        <v>372013</v>
      </c>
      <c r="D12" s="77" t="s">
        <v>161</v>
      </c>
      <c r="E12" s="77" t="s">
        <v>162</v>
      </c>
      <c r="F12" s="77" t="s">
        <v>163</v>
      </c>
      <c r="G12" s="38" t="s">
        <v>271</v>
      </c>
      <c r="H12" s="78"/>
      <c r="I12" s="82"/>
      <c r="J12" s="91">
        <v>45084</v>
      </c>
      <c r="K12" s="91">
        <v>45084</v>
      </c>
      <c r="L12" s="69" t="s">
        <v>240</v>
      </c>
      <c r="M12" s="70" t="s">
        <v>242</v>
      </c>
      <c r="N12" s="71" t="s">
        <v>244</v>
      </c>
      <c r="O12" s="55" t="s">
        <v>284</v>
      </c>
      <c r="P12" s="38">
        <v>1000</v>
      </c>
      <c r="Q12" s="55" t="s">
        <v>267</v>
      </c>
      <c r="R12" s="38" t="s">
        <v>266</v>
      </c>
      <c r="S12" s="38" t="s">
        <v>268</v>
      </c>
      <c r="T12" s="78"/>
      <c r="U12" s="38" t="s">
        <v>266</v>
      </c>
      <c r="V12" s="55" t="s">
        <v>249</v>
      </c>
      <c r="W12" s="55" t="s">
        <v>250</v>
      </c>
      <c r="X12" s="38"/>
      <c r="Y12" s="60">
        <v>34.352161054319602</v>
      </c>
      <c r="Z12" s="60">
        <v>134.04637431508499</v>
      </c>
      <c r="AA12" s="68" t="s">
        <v>237</v>
      </c>
      <c r="AB12" s="78"/>
      <c r="AC12" s="78"/>
      <c r="AD12" s="78"/>
      <c r="AE12" s="78"/>
      <c r="AF12" s="78"/>
      <c r="AG12" s="64" t="s">
        <v>269</v>
      </c>
      <c r="AH12" s="68" t="s">
        <v>214</v>
      </c>
      <c r="AI12" s="68" t="s">
        <v>222</v>
      </c>
      <c r="AJ12" s="68" t="s">
        <v>232</v>
      </c>
      <c r="AK12" s="68">
        <v>0</v>
      </c>
      <c r="AL12" s="68" t="s">
        <v>270</v>
      </c>
      <c r="AM12" s="38"/>
    </row>
    <row r="13" spans="1:39" ht="80">
      <c r="A13" s="38"/>
      <c r="B13" s="38">
        <v>0</v>
      </c>
      <c r="C13" s="77">
        <v>372013</v>
      </c>
      <c r="D13" s="77" t="s">
        <v>161</v>
      </c>
      <c r="E13" s="77" t="s">
        <v>162</v>
      </c>
      <c r="F13" s="77" t="s">
        <v>163</v>
      </c>
      <c r="G13" s="38" t="s">
        <v>271</v>
      </c>
      <c r="H13" s="78"/>
      <c r="I13" s="82"/>
      <c r="J13" s="91">
        <v>45087</v>
      </c>
      <c r="K13" s="91">
        <v>45088</v>
      </c>
      <c r="L13" s="69" t="s">
        <v>240</v>
      </c>
      <c r="M13" s="70" t="s">
        <v>242</v>
      </c>
      <c r="N13" s="71" t="s">
        <v>244</v>
      </c>
      <c r="O13" s="55" t="s">
        <v>284</v>
      </c>
      <c r="P13" s="38">
        <v>1000</v>
      </c>
      <c r="Q13" s="55" t="s">
        <v>267</v>
      </c>
      <c r="R13" s="38" t="s">
        <v>266</v>
      </c>
      <c r="S13" s="38" t="s">
        <v>268</v>
      </c>
      <c r="T13" s="78"/>
      <c r="U13" s="38" t="s">
        <v>266</v>
      </c>
      <c r="V13" s="55" t="s">
        <v>249</v>
      </c>
      <c r="W13" s="55" t="s">
        <v>250</v>
      </c>
      <c r="X13" s="38"/>
      <c r="Y13" s="60">
        <v>34.352211412866303</v>
      </c>
      <c r="Z13" s="60">
        <v>134.046502064414</v>
      </c>
      <c r="AA13" s="68" t="s">
        <v>237</v>
      </c>
      <c r="AB13" s="78"/>
      <c r="AC13" s="78"/>
      <c r="AD13" s="78"/>
      <c r="AE13" s="78"/>
      <c r="AF13" s="78"/>
      <c r="AG13" s="64" t="s">
        <v>269</v>
      </c>
      <c r="AH13" s="68" t="s">
        <v>216</v>
      </c>
      <c r="AI13" s="68" t="s">
        <v>223</v>
      </c>
      <c r="AJ13" s="68" t="s">
        <v>232</v>
      </c>
      <c r="AK13" s="68">
        <v>0</v>
      </c>
      <c r="AL13" s="68" t="s">
        <v>270</v>
      </c>
      <c r="AM13" s="38"/>
    </row>
    <row r="14" spans="1:39" ht="80">
      <c r="A14" s="38"/>
      <c r="B14" s="38">
        <v>0</v>
      </c>
      <c r="C14" s="77">
        <v>372013</v>
      </c>
      <c r="D14" s="77" t="s">
        <v>161</v>
      </c>
      <c r="E14" s="77" t="s">
        <v>162</v>
      </c>
      <c r="F14" s="77" t="s">
        <v>163</v>
      </c>
      <c r="G14" s="38" t="s">
        <v>271</v>
      </c>
      <c r="H14" s="78"/>
      <c r="I14" s="82"/>
      <c r="J14" s="91">
        <v>45087</v>
      </c>
      <c r="K14" s="91">
        <v>45088</v>
      </c>
      <c r="L14" s="69" t="s">
        <v>240</v>
      </c>
      <c r="M14" s="70" t="s">
        <v>242</v>
      </c>
      <c r="N14" s="71" t="s">
        <v>244</v>
      </c>
      <c r="O14" s="55" t="s">
        <v>284</v>
      </c>
      <c r="P14" s="38">
        <v>1000</v>
      </c>
      <c r="Q14" s="55" t="s">
        <v>267</v>
      </c>
      <c r="R14" s="38" t="s">
        <v>266</v>
      </c>
      <c r="S14" s="38" t="s">
        <v>268</v>
      </c>
      <c r="T14" s="78"/>
      <c r="U14" s="38" t="s">
        <v>266</v>
      </c>
      <c r="V14" s="55" t="s">
        <v>249</v>
      </c>
      <c r="W14" s="55" t="s">
        <v>250</v>
      </c>
      <c r="X14" s="38"/>
      <c r="Y14" s="60">
        <v>34.352257970741</v>
      </c>
      <c r="Z14" s="60">
        <v>134.046461783094</v>
      </c>
      <c r="AA14" s="68" t="s">
        <v>237</v>
      </c>
      <c r="AB14" s="78"/>
      <c r="AC14" s="78"/>
      <c r="AD14" s="78"/>
      <c r="AE14" s="78"/>
      <c r="AF14" s="78"/>
      <c r="AG14" s="64" t="s">
        <v>269</v>
      </c>
      <c r="AH14" s="68" t="s">
        <v>217</v>
      </c>
      <c r="AI14" s="68" t="s">
        <v>224</v>
      </c>
      <c r="AJ14" s="68" t="s">
        <v>232</v>
      </c>
      <c r="AK14" s="68">
        <v>0</v>
      </c>
      <c r="AL14" s="68" t="s">
        <v>270</v>
      </c>
      <c r="AM14" s="38"/>
    </row>
    <row r="15" spans="1:39" ht="80">
      <c r="A15" s="38"/>
      <c r="B15" s="38">
        <v>0</v>
      </c>
      <c r="C15" s="77">
        <v>372013</v>
      </c>
      <c r="D15" s="77" t="s">
        <v>161</v>
      </c>
      <c r="E15" s="77" t="s">
        <v>162</v>
      </c>
      <c r="F15" s="77" t="s">
        <v>163</v>
      </c>
      <c r="G15" s="38" t="s">
        <v>271</v>
      </c>
      <c r="H15" s="78"/>
      <c r="I15" s="82"/>
      <c r="J15" s="91">
        <v>45087</v>
      </c>
      <c r="K15" s="91">
        <v>45088</v>
      </c>
      <c r="L15" s="69" t="s">
        <v>240</v>
      </c>
      <c r="M15" s="70" t="s">
        <v>242</v>
      </c>
      <c r="N15" s="71" t="s">
        <v>244</v>
      </c>
      <c r="O15" s="55" t="s">
        <v>284</v>
      </c>
      <c r="P15" s="38">
        <v>1000</v>
      </c>
      <c r="Q15" s="55" t="s">
        <v>267</v>
      </c>
      <c r="R15" s="38" t="s">
        <v>266</v>
      </c>
      <c r="S15" s="38" t="s">
        <v>268</v>
      </c>
      <c r="T15" s="78"/>
      <c r="U15" s="38" t="s">
        <v>266</v>
      </c>
      <c r="V15" s="55" t="s">
        <v>249</v>
      </c>
      <c r="W15" s="55" t="s">
        <v>250</v>
      </c>
      <c r="X15" s="38"/>
      <c r="Y15" s="60">
        <v>34.352206662061299</v>
      </c>
      <c r="Z15" s="60">
        <v>134.046347844503</v>
      </c>
      <c r="AA15" s="68" t="s">
        <v>237</v>
      </c>
      <c r="AB15" s="78"/>
      <c r="AC15" s="78"/>
      <c r="AD15" s="78"/>
      <c r="AE15" s="78"/>
      <c r="AF15" s="78"/>
      <c r="AG15" s="64" t="s">
        <v>269</v>
      </c>
      <c r="AH15" s="68" t="s">
        <v>218</v>
      </c>
      <c r="AI15" s="68" t="s">
        <v>226</v>
      </c>
      <c r="AJ15" s="68" t="s">
        <v>232</v>
      </c>
      <c r="AK15" s="68">
        <v>0</v>
      </c>
      <c r="AL15" s="68" t="s">
        <v>270</v>
      </c>
      <c r="AM15" s="38"/>
    </row>
    <row r="16" spans="1:39" ht="80">
      <c r="A16" s="38"/>
      <c r="B16" s="38">
        <v>0</v>
      </c>
      <c r="C16" s="77">
        <v>372013</v>
      </c>
      <c r="D16" s="77" t="s">
        <v>161</v>
      </c>
      <c r="E16" s="77" t="s">
        <v>162</v>
      </c>
      <c r="F16" s="77" t="s">
        <v>163</v>
      </c>
      <c r="G16" s="38" t="s">
        <v>271</v>
      </c>
      <c r="H16" s="78"/>
      <c r="I16" s="82"/>
      <c r="J16" s="91">
        <v>45087</v>
      </c>
      <c r="K16" s="91">
        <v>45088</v>
      </c>
      <c r="L16" s="69" t="s">
        <v>240</v>
      </c>
      <c r="M16" s="70" t="s">
        <v>242</v>
      </c>
      <c r="N16" s="71" t="s">
        <v>244</v>
      </c>
      <c r="O16" s="55" t="s">
        <v>284</v>
      </c>
      <c r="P16" s="38">
        <v>1000</v>
      </c>
      <c r="Q16" s="55" t="s">
        <v>267</v>
      </c>
      <c r="R16" s="38" t="s">
        <v>266</v>
      </c>
      <c r="S16" s="38" t="s">
        <v>268</v>
      </c>
      <c r="T16" s="78"/>
      <c r="U16" s="38" t="s">
        <v>266</v>
      </c>
      <c r="V16" s="55" t="s">
        <v>249</v>
      </c>
      <c r="W16" s="55" t="s">
        <v>250</v>
      </c>
      <c r="X16" s="38"/>
      <c r="Y16" s="60">
        <v>34.352287425709598</v>
      </c>
      <c r="Z16" s="60">
        <v>134.046431859828</v>
      </c>
      <c r="AA16" s="68" t="s">
        <v>237</v>
      </c>
      <c r="AB16" s="78"/>
      <c r="AC16" s="78"/>
      <c r="AD16" s="78"/>
      <c r="AE16" s="78"/>
      <c r="AF16" s="78"/>
      <c r="AG16" s="64" t="s">
        <v>269</v>
      </c>
      <c r="AH16" s="68" t="s">
        <v>96</v>
      </c>
      <c r="AI16" s="68" t="s">
        <v>227</v>
      </c>
      <c r="AJ16" s="68" t="s">
        <v>232</v>
      </c>
      <c r="AK16" s="68">
        <v>0</v>
      </c>
      <c r="AL16" s="68" t="s">
        <v>270</v>
      </c>
      <c r="AM16" s="38"/>
    </row>
    <row r="17" spans="1:39" ht="80">
      <c r="A17" s="38"/>
      <c r="B17" s="38">
        <v>0</v>
      </c>
      <c r="C17" s="77">
        <v>372013</v>
      </c>
      <c r="D17" s="77" t="s">
        <v>161</v>
      </c>
      <c r="E17" s="77" t="s">
        <v>162</v>
      </c>
      <c r="F17" s="77" t="s">
        <v>163</v>
      </c>
      <c r="G17" s="38" t="s">
        <v>271</v>
      </c>
      <c r="H17" s="78"/>
      <c r="I17" s="82"/>
      <c r="J17" s="91">
        <v>45087</v>
      </c>
      <c r="K17" s="91">
        <v>45088</v>
      </c>
      <c r="L17" s="69" t="s">
        <v>240</v>
      </c>
      <c r="M17" s="70" t="s">
        <v>242</v>
      </c>
      <c r="N17" s="71" t="s">
        <v>244</v>
      </c>
      <c r="O17" s="55" t="s">
        <v>284</v>
      </c>
      <c r="P17" s="38">
        <v>1000</v>
      </c>
      <c r="Q17" s="55" t="s">
        <v>267</v>
      </c>
      <c r="R17" s="38" t="s">
        <v>266</v>
      </c>
      <c r="S17" s="38" t="s">
        <v>268</v>
      </c>
      <c r="T17" s="78"/>
      <c r="U17" s="38" t="s">
        <v>266</v>
      </c>
      <c r="V17" s="55" t="s">
        <v>249</v>
      </c>
      <c r="W17" s="55" t="s">
        <v>250</v>
      </c>
      <c r="X17" s="38"/>
      <c r="Y17" s="60">
        <v>34.352256070420097</v>
      </c>
      <c r="Z17" s="60">
        <v>134.04633863734401</v>
      </c>
      <c r="AA17" s="68" t="s">
        <v>237</v>
      </c>
      <c r="AB17" s="78"/>
      <c r="AC17" s="78"/>
      <c r="AD17" s="78"/>
      <c r="AE17" s="78"/>
      <c r="AF17" s="78"/>
      <c r="AG17" s="64" t="s">
        <v>269</v>
      </c>
      <c r="AH17" s="68" t="s">
        <v>219</v>
      </c>
      <c r="AI17" s="68" t="s">
        <v>227</v>
      </c>
      <c r="AJ17" s="68" t="s">
        <v>232</v>
      </c>
      <c r="AK17" s="68">
        <v>0</v>
      </c>
      <c r="AL17" s="68" t="s">
        <v>270</v>
      </c>
      <c r="AM17" s="38"/>
    </row>
    <row r="18" spans="1:39" ht="80">
      <c r="A18" s="38"/>
      <c r="B18" s="38">
        <v>0</v>
      </c>
      <c r="C18" s="77">
        <v>372013</v>
      </c>
      <c r="D18" s="77" t="s">
        <v>161</v>
      </c>
      <c r="E18" s="77" t="s">
        <v>162</v>
      </c>
      <c r="F18" s="77" t="s">
        <v>163</v>
      </c>
      <c r="G18" s="38" t="s">
        <v>273</v>
      </c>
      <c r="H18" s="78"/>
      <c r="I18" s="82"/>
      <c r="J18" s="91">
        <v>45083</v>
      </c>
      <c r="K18" s="91">
        <v>45083</v>
      </c>
      <c r="L18" s="69" t="s">
        <v>240</v>
      </c>
      <c r="M18" s="70" t="s">
        <v>242</v>
      </c>
      <c r="N18" s="71" t="s">
        <v>244</v>
      </c>
      <c r="O18" s="55" t="s">
        <v>284</v>
      </c>
      <c r="P18" s="38">
        <v>1000</v>
      </c>
      <c r="Q18" s="55" t="s">
        <v>267</v>
      </c>
      <c r="R18" s="38" t="s">
        <v>266</v>
      </c>
      <c r="S18" s="38" t="s">
        <v>268</v>
      </c>
      <c r="T18" s="78"/>
      <c r="U18" s="38" t="s">
        <v>266</v>
      </c>
      <c r="V18" s="55" t="s">
        <v>272</v>
      </c>
      <c r="W18" s="55" t="s">
        <v>236</v>
      </c>
      <c r="X18" s="38"/>
      <c r="Y18" s="60">
        <v>34.353142578179799</v>
      </c>
      <c r="Z18" s="60">
        <v>134.045858564236</v>
      </c>
      <c r="AA18" s="68" t="s">
        <v>237</v>
      </c>
      <c r="AB18" s="78"/>
      <c r="AC18" s="78"/>
      <c r="AD18" s="78"/>
      <c r="AE18" s="78"/>
      <c r="AF18" s="78"/>
      <c r="AG18" s="64" t="s">
        <v>269</v>
      </c>
      <c r="AH18" s="68" t="s">
        <v>213</v>
      </c>
      <c r="AI18" s="68" t="s">
        <v>225</v>
      </c>
      <c r="AJ18" s="68" t="s">
        <v>231</v>
      </c>
      <c r="AK18" s="68">
        <v>0</v>
      </c>
      <c r="AL18" s="68" t="s">
        <v>270</v>
      </c>
      <c r="AM18" s="38"/>
    </row>
    <row r="19" spans="1:39" ht="80">
      <c r="A19" s="38"/>
      <c r="B19" s="38">
        <v>0</v>
      </c>
      <c r="C19" s="77">
        <v>372013</v>
      </c>
      <c r="D19" s="77" t="s">
        <v>161</v>
      </c>
      <c r="E19" s="77" t="s">
        <v>162</v>
      </c>
      <c r="F19" s="77" t="s">
        <v>163</v>
      </c>
      <c r="G19" s="38" t="s">
        <v>273</v>
      </c>
      <c r="H19" s="78"/>
      <c r="I19" s="82"/>
      <c r="J19" s="91">
        <v>45084</v>
      </c>
      <c r="K19" s="91">
        <v>45084</v>
      </c>
      <c r="L19" s="69" t="s">
        <v>240</v>
      </c>
      <c r="M19" s="70" t="s">
        <v>242</v>
      </c>
      <c r="N19" s="71" t="s">
        <v>244</v>
      </c>
      <c r="O19" s="55" t="s">
        <v>284</v>
      </c>
      <c r="P19" s="38">
        <v>1000</v>
      </c>
      <c r="Q19" s="55" t="s">
        <v>267</v>
      </c>
      <c r="R19" s="38" t="s">
        <v>266</v>
      </c>
      <c r="S19" s="38" t="s">
        <v>268</v>
      </c>
      <c r="T19" s="78"/>
      <c r="U19" s="38" t="s">
        <v>266</v>
      </c>
      <c r="V19" s="55" t="s">
        <v>272</v>
      </c>
      <c r="W19" s="55" t="s">
        <v>236</v>
      </c>
      <c r="X19" s="38"/>
      <c r="Y19" s="60">
        <v>34.353077394441797</v>
      </c>
      <c r="Z19" s="60">
        <v>134.04614280403001</v>
      </c>
      <c r="AA19" s="68" t="s">
        <v>237</v>
      </c>
      <c r="AB19" s="78"/>
      <c r="AC19" s="78"/>
      <c r="AD19" s="78"/>
      <c r="AE19" s="78"/>
      <c r="AF19" s="78"/>
      <c r="AG19" s="64" t="s">
        <v>269</v>
      </c>
      <c r="AH19" s="68" t="s">
        <v>214</v>
      </c>
      <c r="AI19" s="68" t="s">
        <v>225</v>
      </c>
      <c r="AJ19" s="68" t="s">
        <v>231</v>
      </c>
      <c r="AK19" s="68">
        <v>0</v>
      </c>
      <c r="AL19" s="68" t="s">
        <v>270</v>
      </c>
      <c r="AM19" s="38"/>
    </row>
    <row r="20" spans="1:39" ht="80">
      <c r="A20" s="38"/>
      <c r="B20" s="38">
        <v>0</v>
      </c>
      <c r="C20" s="77">
        <v>372013</v>
      </c>
      <c r="D20" s="77" t="s">
        <v>161</v>
      </c>
      <c r="E20" s="77" t="s">
        <v>162</v>
      </c>
      <c r="F20" s="77" t="s">
        <v>163</v>
      </c>
      <c r="G20" s="38" t="s">
        <v>275</v>
      </c>
      <c r="H20" s="78"/>
      <c r="I20" s="82"/>
      <c r="J20" s="91">
        <v>45083</v>
      </c>
      <c r="K20" s="91">
        <v>45083</v>
      </c>
      <c r="L20" s="69" t="s">
        <v>240</v>
      </c>
      <c r="M20" s="70" t="s">
        <v>242</v>
      </c>
      <c r="N20" s="71" t="s">
        <v>244</v>
      </c>
      <c r="O20" s="55" t="s">
        <v>284</v>
      </c>
      <c r="P20" s="38">
        <v>1000</v>
      </c>
      <c r="Q20" s="55" t="s">
        <v>267</v>
      </c>
      <c r="R20" s="38" t="s">
        <v>266</v>
      </c>
      <c r="S20" s="38" t="s">
        <v>268</v>
      </c>
      <c r="T20" s="78"/>
      <c r="U20" s="38" t="s">
        <v>266</v>
      </c>
      <c r="V20" s="55" t="s">
        <v>277</v>
      </c>
      <c r="W20" s="55" t="s">
        <v>276</v>
      </c>
      <c r="X20" s="38"/>
      <c r="Y20" s="60">
        <v>34.3513682587147</v>
      </c>
      <c r="Z20" s="60">
        <v>134.047404513022</v>
      </c>
      <c r="AA20" s="68" t="s">
        <v>279</v>
      </c>
      <c r="AB20" s="78"/>
      <c r="AC20" s="78"/>
      <c r="AD20" s="78"/>
      <c r="AE20" s="78"/>
      <c r="AF20" s="78"/>
      <c r="AG20" s="64" t="s">
        <v>269</v>
      </c>
      <c r="AH20" s="68" t="s">
        <v>218</v>
      </c>
      <c r="AI20" s="68" t="s">
        <v>225</v>
      </c>
      <c r="AJ20" s="68" t="s">
        <v>274</v>
      </c>
      <c r="AK20" s="68">
        <v>0</v>
      </c>
      <c r="AL20" s="68" t="s">
        <v>270</v>
      </c>
      <c r="AM20" s="38"/>
    </row>
    <row r="21" spans="1:39" ht="80">
      <c r="A21" s="38"/>
      <c r="B21" s="38">
        <v>0</v>
      </c>
      <c r="C21" s="77">
        <v>372013</v>
      </c>
      <c r="D21" s="77" t="s">
        <v>161</v>
      </c>
      <c r="E21" s="77" t="s">
        <v>162</v>
      </c>
      <c r="F21" s="77" t="s">
        <v>163</v>
      </c>
      <c r="G21" s="38" t="s">
        <v>275</v>
      </c>
      <c r="H21" s="78"/>
      <c r="I21" s="82"/>
      <c r="J21" s="91">
        <v>45084</v>
      </c>
      <c r="K21" s="91">
        <v>45084</v>
      </c>
      <c r="L21" s="69" t="s">
        <v>240</v>
      </c>
      <c r="M21" s="70" t="s">
        <v>242</v>
      </c>
      <c r="N21" s="71" t="s">
        <v>244</v>
      </c>
      <c r="O21" s="55" t="s">
        <v>284</v>
      </c>
      <c r="P21" s="38">
        <v>1000</v>
      </c>
      <c r="Q21" s="55" t="s">
        <v>267</v>
      </c>
      <c r="R21" s="38" t="s">
        <v>266</v>
      </c>
      <c r="S21" s="38" t="s">
        <v>268</v>
      </c>
      <c r="T21" s="78"/>
      <c r="U21" s="38" t="s">
        <v>266</v>
      </c>
      <c r="V21" s="55" t="s">
        <v>277</v>
      </c>
      <c r="W21" s="55" t="s">
        <v>276</v>
      </c>
      <c r="X21" s="38"/>
      <c r="Y21" s="60">
        <v>34.351179221733801</v>
      </c>
      <c r="Z21" s="60">
        <v>134.04733029485399</v>
      </c>
      <c r="AA21" s="68" t="s">
        <v>279</v>
      </c>
      <c r="AB21" s="78"/>
      <c r="AC21" s="78"/>
      <c r="AD21" s="78"/>
      <c r="AE21" s="78"/>
      <c r="AF21" s="78"/>
      <c r="AG21" s="64" t="s">
        <v>269</v>
      </c>
      <c r="AH21" s="68" t="s">
        <v>96</v>
      </c>
      <c r="AI21" s="68" t="s">
        <v>225</v>
      </c>
      <c r="AJ21" s="68" t="s">
        <v>274</v>
      </c>
      <c r="AK21" s="68">
        <v>0</v>
      </c>
      <c r="AL21" s="68" t="s">
        <v>270</v>
      </c>
      <c r="AM21" s="38"/>
    </row>
    <row r="22" spans="1:39" ht="80">
      <c r="A22" s="38"/>
      <c r="B22" s="38">
        <v>0</v>
      </c>
      <c r="C22" s="77">
        <v>372013</v>
      </c>
      <c r="D22" s="77" t="s">
        <v>161</v>
      </c>
      <c r="E22" s="77" t="s">
        <v>162</v>
      </c>
      <c r="F22" s="77" t="s">
        <v>163</v>
      </c>
      <c r="G22" s="38" t="s">
        <v>280</v>
      </c>
      <c r="H22" s="78"/>
      <c r="I22" s="82"/>
      <c r="J22" s="91">
        <v>45083</v>
      </c>
      <c r="K22" s="91">
        <v>45113</v>
      </c>
      <c r="L22" s="69" t="s">
        <v>240</v>
      </c>
      <c r="M22" s="70" t="s">
        <v>242</v>
      </c>
      <c r="N22" s="71" t="s">
        <v>244</v>
      </c>
      <c r="O22" s="55" t="s">
        <v>284</v>
      </c>
      <c r="P22" s="38">
        <v>1000</v>
      </c>
      <c r="Q22" s="55" t="s">
        <v>267</v>
      </c>
      <c r="R22" s="38" t="s">
        <v>266</v>
      </c>
      <c r="S22" s="38" t="s">
        <v>268</v>
      </c>
      <c r="T22" s="78"/>
      <c r="U22" s="38" t="s">
        <v>266</v>
      </c>
      <c r="V22" s="55" t="s">
        <v>281</v>
      </c>
      <c r="W22" s="55" t="s">
        <v>282</v>
      </c>
      <c r="X22" s="38"/>
      <c r="Y22" s="60">
        <v>34.351196936855096</v>
      </c>
      <c r="Z22" s="60">
        <v>134.049847769591</v>
      </c>
      <c r="AA22" s="68" t="s">
        <v>283</v>
      </c>
      <c r="AB22" s="78"/>
      <c r="AC22" s="78"/>
      <c r="AD22" s="78"/>
      <c r="AE22" s="78"/>
      <c r="AF22" s="78"/>
      <c r="AG22" s="64" t="s">
        <v>269</v>
      </c>
      <c r="AH22" s="68" t="s">
        <v>219</v>
      </c>
      <c r="AI22" s="68" t="s">
        <v>225</v>
      </c>
      <c r="AJ22" s="68" t="s">
        <v>278</v>
      </c>
      <c r="AK22" s="68">
        <v>0</v>
      </c>
      <c r="AL22" s="68" t="s">
        <v>270</v>
      </c>
      <c r="AM22" s="38"/>
    </row>
    <row r="23" spans="1:39" ht="80">
      <c r="A23" s="38"/>
      <c r="B23" s="38">
        <v>0</v>
      </c>
      <c r="C23" s="77">
        <v>372013</v>
      </c>
      <c r="D23" s="77" t="s">
        <v>161</v>
      </c>
      <c r="E23" s="77" t="s">
        <v>162</v>
      </c>
      <c r="F23" s="77" t="s">
        <v>163</v>
      </c>
      <c r="G23" s="38" t="s">
        <v>280</v>
      </c>
      <c r="H23" s="78"/>
      <c r="I23" s="82"/>
      <c r="J23" s="91">
        <v>45084</v>
      </c>
      <c r="K23" s="91">
        <v>45114</v>
      </c>
      <c r="L23" s="69" t="s">
        <v>240</v>
      </c>
      <c r="M23" s="70" t="s">
        <v>242</v>
      </c>
      <c r="N23" s="71" t="s">
        <v>244</v>
      </c>
      <c r="O23" s="55" t="s">
        <v>284</v>
      </c>
      <c r="P23" s="38">
        <v>1000</v>
      </c>
      <c r="Q23" s="55" t="s">
        <v>267</v>
      </c>
      <c r="R23" s="38" t="s">
        <v>266</v>
      </c>
      <c r="S23" s="38" t="s">
        <v>268</v>
      </c>
      <c r="T23" s="78"/>
      <c r="U23" s="38" t="s">
        <v>266</v>
      </c>
      <c r="V23" s="55" t="s">
        <v>281</v>
      </c>
      <c r="W23" s="55" t="s">
        <v>282</v>
      </c>
      <c r="X23" s="38"/>
      <c r="Y23" s="60">
        <v>34.351106364737902</v>
      </c>
      <c r="Z23" s="60">
        <v>134.050118375924</v>
      </c>
      <c r="AA23" s="68" t="s">
        <v>283</v>
      </c>
      <c r="AB23" s="78"/>
      <c r="AC23" s="78"/>
      <c r="AD23" s="78"/>
      <c r="AE23" s="78"/>
      <c r="AF23" s="78"/>
      <c r="AG23" s="64" t="s">
        <v>269</v>
      </c>
      <c r="AH23" s="68" t="s">
        <v>217</v>
      </c>
      <c r="AI23" s="68" t="s">
        <v>225</v>
      </c>
      <c r="AJ23" s="68" t="s">
        <v>278</v>
      </c>
      <c r="AK23" s="68">
        <v>0</v>
      </c>
      <c r="AL23" s="68" t="s">
        <v>270</v>
      </c>
      <c r="AM23" s="38"/>
    </row>
    <row r="24" spans="1:39">
      <c r="A24" s="38"/>
      <c r="B24" s="38"/>
      <c r="C24" s="78"/>
      <c r="D24" s="78"/>
      <c r="E24" s="78"/>
      <c r="F24" s="78"/>
      <c r="G24" s="38"/>
      <c r="H24" s="78"/>
      <c r="I24" s="82"/>
      <c r="J24" s="92"/>
      <c r="K24" s="92"/>
      <c r="L24" s="57"/>
      <c r="M24" s="58"/>
      <c r="N24" s="55"/>
      <c r="O24" s="55"/>
      <c r="P24" s="38"/>
      <c r="Q24" s="55"/>
      <c r="R24" s="38"/>
      <c r="S24" s="38"/>
      <c r="T24" s="78"/>
      <c r="U24" s="38"/>
      <c r="V24" s="38"/>
      <c r="W24" s="38"/>
      <c r="X24" s="38"/>
      <c r="Y24" s="60"/>
      <c r="Z24" s="60"/>
      <c r="AA24" s="38"/>
      <c r="AB24" s="78"/>
      <c r="AC24" s="78"/>
      <c r="AD24" s="78"/>
      <c r="AE24" s="78"/>
      <c r="AF24" s="78"/>
      <c r="AG24" s="55"/>
      <c r="AH24" s="38"/>
      <c r="AI24" s="38"/>
      <c r="AJ24" s="38"/>
      <c r="AK24" s="38"/>
      <c r="AL24" s="38"/>
      <c r="AM24" s="38"/>
    </row>
    <row r="25" spans="1:39">
      <c r="A25" s="38"/>
      <c r="B25" s="38"/>
      <c r="C25" s="78"/>
      <c r="D25" s="78"/>
      <c r="E25" s="78"/>
      <c r="F25" s="78"/>
      <c r="G25" s="38"/>
      <c r="H25" s="78"/>
      <c r="I25" s="82"/>
      <c r="J25" s="92"/>
      <c r="K25" s="92"/>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2"/>
      <c r="K26" s="92"/>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2"/>
      <c r="K27" s="92"/>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2"/>
      <c r="K28" s="92"/>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2"/>
      <c r="K29" s="92"/>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2"/>
      <c r="K30" s="92"/>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2"/>
      <c r="K31" s="92"/>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2"/>
      <c r="K32" s="92"/>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2"/>
      <c r="K33" s="92"/>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2"/>
      <c r="K34" s="92"/>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2"/>
      <c r="K35" s="92"/>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2"/>
      <c r="K36" s="92"/>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2"/>
      <c r="K37" s="92"/>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2"/>
      <c r="K38" s="92"/>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2"/>
      <c r="K39" s="92"/>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2"/>
      <c r="K40" s="92"/>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2"/>
      <c r="K41" s="92"/>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2"/>
      <c r="K42" s="92"/>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2"/>
      <c r="K43" s="92"/>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2"/>
      <c r="K44" s="92"/>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2"/>
      <c r="K45" s="92"/>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2"/>
      <c r="K46" s="92"/>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2"/>
      <c r="K47" s="92"/>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2"/>
      <c r="K48" s="92"/>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2"/>
      <c r="K49" s="92"/>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2"/>
      <c r="K50" s="92"/>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2"/>
      <c r="K51" s="92"/>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2"/>
      <c r="K52" s="92"/>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2"/>
      <c r="K53" s="92"/>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2"/>
      <c r="K54" s="92"/>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2"/>
      <c r="K55" s="92"/>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2"/>
      <c r="K56" s="92"/>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2"/>
      <c r="K57" s="92"/>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2"/>
      <c r="K58" s="92"/>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2"/>
      <c r="K59" s="92"/>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2"/>
      <c r="K60" s="92"/>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2"/>
      <c r="K61" s="92"/>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2"/>
      <c r="K62" s="92"/>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2"/>
      <c r="K63" s="92"/>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2"/>
      <c r="K64" s="92"/>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2"/>
      <c r="K65" s="92"/>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2"/>
      <c r="K66" s="92"/>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2"/>
      <c r="K67" s="92"/>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2"/>
      <c r="K68" s="92"/>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2"/>
      <c r="K69" s="92"/>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2"/>
      <c r="K70" s="92"/>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2"/>
      <c r="K71" s="92"/>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2"/>
      <c r="K72" s="92"/>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2"/>
      <c r="K73" s="92"/>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2"/>
      <c r="K74" s="92"/>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2"/>
      <c r="K75" s="92"/>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2"/>
      <c r="K76" s="92"/>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2"/>
      <c r="K77" s="92"/>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2"/>
      <c r="K78" s="92"/>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2"/>
      <c r="K79" s="92"/>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2"/>
      <c r="K80" s="92"/>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2"/>
      <c r="K81" s="92"/>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2"/>
      <c r="K82" s="92"/>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2"/>
      <c r="K83" s="92"/>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2"/>
      <c r="K84" s="92"/>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2"/>
      <c r="K85" s="92"/>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2"/>
      <c r="K86" s="92"/>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2"/>
      <c r="K87" s="92"/>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2"/>
      <c r="K88" s="92"/>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2"/>
      <c r="K89" s="92"/>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2"/>
      <c r="K90" s="92"/>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2"/>
      <c r="K91" s="92"/>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2"/>
      <c r="K92" s="92"/>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2"/>
      <c r="K93" s="92"/>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2"/>
      <c r="K94" s="92"/>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2"/>
      <c r="K95" s="92"/>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2"/>
      <c r="K96" s="92"/>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2"/>
      <c r="K97" s="92"/>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2"/>
      <c r="K98" s="92"/>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2"/>
      <c r="K99" s="92"/>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2"/>
      <c r="K100" s="92"/>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2"/>
      <c r="K101" s="92"/>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2"/>
      <c r="K102" s="92"/>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2"/>
      <c r="K103" s="92"/>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2"/>
      <c r="K104" s="92"/>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2"/>
      <c r="K105" s="92"/>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2"/>
      <c r="K106" s="92"/>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2"/>
      <c r="K107" s="92"/>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2"/>
      <c r="K108" s="92"/>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2"/>
      <c r="K109" s="92"/>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2"/>
      <c r="K110" s="92"/>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2"/>
      <c r="K111" s="92"/>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2"/>
      <c r="K112" s="92"/>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2"/>
      <c r="K113" s="92"/>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2"/>
      <c r="K114" s="92"/>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2"/>
      <c r="K115" s="92"/>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2"/>
      <c r="K116" s="92"/>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2"/>
      <c r="K117" s="92"/>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2"/>
      <c r="K118" s="92"/>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2"/>
      <c r="K119" s="92"/>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2"/>
      <c r="K120" s="92"/>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2"/>
      <c r="K121" s="92"/>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2"/>
      <c r="K122" s="92"/>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2"/>
      <c r="K123" s="92"/>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2"/>
      <c r="K124" s="92"/>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2"/>
      <c r="K125" s="92"/>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2"/>
      <c r="K126" s="92"/>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2"/>
      <c r="K127" s="92"/>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2"/>
      <c r="K128" s="92"/>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2"/>
      <c r="K129" s="92"/>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2"/>
      <c r="K130" s="92"/>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2"/>
      <c r="K131" s="92"/>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2"/>
      <c r="K132" s="92"/>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2"/>
      <c r="K133" s="92"/>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2"/>
      <c r="K134" s="92"/>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2"/>
      <c r="K135" s="92"/>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2"/>
      <c r="K136" s="92"/>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2"/>
      <c r="K137" s="92"/>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2"/>
      <c r="K138" s="92"/>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2"/>
      <c r="K139" s="92"/>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2"/>
      <c r="K140" s="92"/>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2"/>
      <c r="K141" s="92"/>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2"/>
      <c r="K142" s="92"/>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2"/>
      <c r="K143" s="92"/>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2"/>
      <c r="K144" s="92"/>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2"/>
      <c r="K145" s="92"/>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2"/>
      <c r="K146" s="92"/>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2"/>
      <c r="K147" s="92"/>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2"/>
      <c r="K148" s="92"/>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2"/>
      <c r="K149" s="92"/>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2"/>
      <c r="K150" s="92"/>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2"/>
      <c r="K151" s="92"/>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2"/>
      <c r="K152" s="92"/>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2"/>
      <c r="K153" s="92"/>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2"/>
      <c r="K154" s="92"/>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2"/>
      <c r="K155" s="92"/>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2"/>
      <c r="K156" s="92"/>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2"/>
      <c r="K157" s="92"/>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2"/>
      <c r="K158" s="92"/>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2"/>
      <c r="K159" s="92"/>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2"/>
      <c r="K160" s="92"/>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2"/>
      <c r="K161" s="92"/>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2"/>
      <c r="K162" s="92"/>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2"/>
      <c r="K163" s="92"/>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2"/>
      <c r="K164" s="92"/>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2"/>
      <c r="K165" s="92"/>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2"/>
      <c r="K166" s="92"/>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2"/>
      <c r="K167" s="92"/>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2"/>
      <c r="K168" s="92"/>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2"/>
      <c r="K169" s="92"/>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2"/>
      <c r="K170" s="92"/>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2"/>
      <c r="K171" s="92"/>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2"/>
      <c r="K172" s="92"/>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2"/>
      <c r="K173" s="92"/>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2"/>
      <c r="K174" s="92"/>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2"/>
      <c r="K175" s="92"/>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2"/>
      <c r="K176" s="92"/>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2"/>
      <c r="K177" s="92"/>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2"/>
      <c r="K178" s="92"/>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2"/>
      <c r="K179" s="92"/>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2"/>
      <c r="K180" s="92"/>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2"/>
      <c r="K181" s="92"/>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2"/>
      <c r="K182" s="92"/>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2"/>
      <c r="K183" s="92"/>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2"/>
      <c r="K184" s="92"/>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2"/>
      <c r="K185" s="92"/>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2"/>
      <c r="K186" s="92"/>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2"/>
      <c r="K187" s="92"/>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2"/>
      <c r="K188" s="92"/>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2"/>
      <c r="K189" s="92"/>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2"/>
      <c r="K190" s="92"/>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2"/>
      <c r="K191" s="92"/>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2"/>
      <c r="K192" s="92"/>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2"/>
      <c r="K193" s="92"/>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2"/>
      <c r="K194" s="92"/>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2"/>
      <c r="K195" s="92"/>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2"/>
      <c r="K196" s="92"/>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2"/>
      <c r="K197" s="92"/>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2"/>
      <c r="K198" s="92"/>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2"/>
      <c r="K199" s="92"/>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2"/>
      <c r="K200" s="92"/>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2"/>
      <c r="K201" s="92"/>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2"/>
      <c r="K202" s="92"/>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2"/>
      <c r="K203" s="92"/>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2"/>
      <c r="K204" s="92"/>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2"/>
      <c r="K205" s="92"/>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2"/>
      <c r="K206" s="92"/>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2"/>
      <c r="K207" s="92"/>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2"/>
      <c r="K208" s="92"/>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2"/>
      <c r="K209" s="92"/>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2"/>
      <c r="K210" s="92"/>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2"/>
      <c r="K211" s="92"/>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2"/>
      <c r="K212" s="92"/>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2"/>
      <c r="K213" s="92"/>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2"/>
      <c r="K214" s="92"/>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2"/>
      <c r="K215" s="92"/>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2"/>
      <c r="K216" s="92"/>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2"/>
      <c r="K217" s="92"/>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2"/>
      <c r="K218" s="92"/>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2"/>
      <c r="K219" s="92"/>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2"/>
      <c r="K220" s="92"/>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2"/>
      <c r="K221" s="92"/>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2"/>
      <c r="K222" s="92"/>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2"/>
      <c r="K223" s="92"/>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2"/>
      <c r="K224" s="92"/>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2"/>
      <c r="K225" s="92"/>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2"/>
      <c r="K226" s="92"/>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2"/>
      <c r="K227" s="92"/>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2"/>
      <c r="K228" s="92"/>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2"/>
      <c r="K229" s="92"/>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2"/>
      <c r="K230" s="92"/>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2"/>
      <c r="K231" s="92"/>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2"/>
      <c r="K232" s="92"/>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2"/>
      <c r="K233" s="92"/>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2"/>
      <c r="K234" s="92"/>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2"/>
      <c r="K235" s="92"/>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2"/>
      <c r="K236" s="92"/>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2"/>
      <c r="K237" s="92"/>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2"/>
      <c r="K238" s="92"/>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2"/>
      <c r="K239" s="92"/>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2"/>
      <c r="K240" s="92"/>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2"/>
      <c r="K241" s="92"/>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2"/>
      <c r="K242" s="92"/>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2"/>
      <c r="K243" s="92"/>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2"/>
      <c r="K244" s="92"/>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2"/>
      <c r="K245" s="92"/>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2"/>
      <c r="K246" s="92"/>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2"/>
      <c r="K247" s="92"/>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2"/>
      <c r="K248" s="92"/>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2"/>
      <c r="K249" s="92"/>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2"/>
      <c r="K250" s="92"/>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2"/>
      <c r="K251" s="92"/>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2"/>
      <c r="K252" s="92"/>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2"/>
      <c r="K253" s="92"/>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2"/>
      <c r="K254" s="92"/>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2"/>
      <c r="K255" s="92"/>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2"/>
      <c r="K256" s="92"/>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2"/>
      <c r="K257" s="92"/>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2"/>
      <c r="K258" s="92"/>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2"/>
      <c r="K259" s="92"/>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2"/>
      <c r="K260" s="92"/>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2"/>
      <c r="K261" s="92"/>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2"/>
      <c r="K262" s="92"/>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2"/>
      <c r="K263" s="92"/>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2"/>
      <c r="K264" s="92"/>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2"/>
      <c r="K265" s="92"/>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2"/>
      <c r="K266" s="92"/>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2"/>
      <c r="K267" s="92"/>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2"/>
      <c r="K268" s="92"/>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2"/>
      <c r="K269" s="92"/>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2"/>
      <c r="K270" s="92"/>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2"/>
      <c r="K271" s="92"/>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2"/>
      <c r="K272" s="92"/>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2"/>
      <c r="K273" s="92"/>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2"/>
      <c r="K274" s="92"/>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2"/>
      <c r="K275" s="92"/>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2"/>
      <c r="K276" s="92"/>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2"/>
      <c r="K277" s="92"/>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2"/>
      <c r="K278" s="92"/>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2"/>
      <c r="K279" s="92"/>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2"/>
      <c r="K280" s="92"/>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2"/>
      <c r="K281" s="92"/>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2"/>
      <c r="K282" s="92"/>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2"/>
      <c r="K283" s="92"/>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2"/>
      <c r="K284" s="92"/>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2"/>
      <c r="K285" s="92"/>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2"/>
      <c r="K286" s="92"/>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2"/>
      <c r="K287" s="92"/>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2"/>
      <c r="K288" s="92"/>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2"/>
      <c r="K289" s="92"/>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2"/>
      <c r="K290" s="92"/>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2"/>
      <c r="K291" s="92"/>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2"/>
      <c r="K292" s="92"/>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2"/>
      <c r="K293" s="92"/>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2"/>
      <c r="K294" s="92"/>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2"/>
      <c r="K295" s="92"/>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2"/>
      <c r="K296" s="92"/>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2"/>
      <c r="K297" s="92"/>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2"/>
      <c r="K298" s="92"/>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2"/>
      <c r="K299" s="92"/>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2"/>
      <c r="K300" s="92"/>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2"/>
      <c r="K301" s="92"/>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2"/>
      <c r="K302" s="92"/>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2"/>
      <c r="K303" s="92"/>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2"/>
      <c r="K304" s="92"/>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2"/>
      <c r="K305" s="92"/>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2"/>
      <c r="K306" s="92"/>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2"/>
      <c r="K307" s="92"/>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2"/>
      <c r="K308" s="92"/>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2"/>
      <c r="K309" s="92"/>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2"/>
      <c r="K310" s="92"/>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2"/>
      <c r="K311" s="92"/>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2"/>
      <c r="K312" s="92"/>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2"/>
      <c r="K313" s="92"/>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2"/>
      <c r="K314" s="92"/>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2"/>
      <c r="K315" s="92"/>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2"/>
      <c r="K316" s="92"/>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2"/>
      <c r="K317" s="92"/>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2"/>
      <c r="K318" s="92"/>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2"/>
      <c r="K319" s="92"/>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2"/>
      <c r="K320" s="92"/>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2"/>
      <c r="K321" s="92"/>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2"/>
      <c r="K322" s="92"/>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2"/>
      <c r="K323" s="92"/>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2"/>
      <c r="K324" s="92"/>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2"/>
      <c r="K325" s="92"/>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2"/>
      <c r="K326" s="92"/>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2"/>
      <c r="K327" s="92"/>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2"/>
      <c r="K328" s="92"/>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2"/>
      <c r="K329" s="92"/>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2"/>
      <c r="K330" s="92"/>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2"/>
      <c r="K331" s="92"/>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2"/>
      <c r="K332" s="92"/>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2"/>
      <c r="K333" s="92"/>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2"/>
      <c r="K334" s="92"/>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2"/>
      <c r="K335" s="92"/>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2"/>
      <c r="K336" s="92"/>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2"/>
      <c r="K337" s="92"/>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2"/>
      <c r="K338" s="92"/>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2"/>
      <c r="K339" s="92"/>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2"/>
      <c r="K340" s="92"/>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2"/>
      <c r="K341" s="92"/>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2"/>
      <c r="K342" s="92"/>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2"/>
      <c r="K343" s="92"/>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2"/>
      <c r="K344" s="92"/>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2"/>
      <c r="K345" s="92"/>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2"/>
      <c r="K346" s="92"/>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2"/>
      <c r="K347" s="92"/>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2"/>
      <c r="K348" s="92"/>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2"/>
      <c r="K349" s="92"/>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2"/>
      <c r="K350" s="92"/>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2"/>
      <c r="K351" s="92"/>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2"/>
      <c r="K352" s="92"/>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2"/>
      <c r="K353" s="92"/>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2"/>
      <c r="K354" s="92"/>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2"/>
      <c r="K355" s="92"/>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2"/>
      <c r="K356" s="92"/>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2"/>
      <c r="K357" s="92"/>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2"/>
      <c r="K358" s="92"/>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2"/>
      <c r="K359" s="92"/>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2"/>
      <c r="K360" s="92"/>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2"/>
      <c r="K361" s="92"/>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2"/>
      <c r="K362" s="92"/>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2"/>
      <c r="K363" s="92"/>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2"/>
      <c r="K364" s="92"/>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2"/>
      <c r="K365" s="92"/>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2"/>
      <c r="K366" s="92"/>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2"/>
      <c r="K367" s="92"/>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2"/>
      <c r="K368" s="92"/>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2"/>
      <c r="K369" s="92"/>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2"/>
      <c r="K370" s="92"/>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2"/>
      <c r="K371" s="92"/>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2"/>
      <c r="K372" s="92"/>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2"/>
      <c r="K373" s="92"/>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2"/>
      <c r="K374" s="92"/>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2"/>
      <c r="K375" s="92"/>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2"/>
      <c r="K376" s="92"/>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2"/>
      <c r="K377" s="92"/>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2"/>
      <c r="K378" s="92"/>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2"/>
      <c r="K379" s="92"/>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2"/>
      <c r="K380" s="92"/>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2"/>
      <c r="K381" s="92"/>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2"/>
      <c r="K382" s="92"/>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2"/>
      <c r="K383" s="92"/>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2"/>
      <c r="K384" s="92"/>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2"/>
      <c r="K385" s="92"/>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2"/>
      <c r="K386" s="92"/>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2"/>
      <c r="K387" s="92"/>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2"/>
      <c r="K388" s="92"/>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2"/>
      <c r="K389" s="92"/>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2"/>
      <c r="K390" s="92"/>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2"/>
      <c r="K391" s="92"/>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2"/>
      <c r="K392" s="92"/>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2"/>
      <c r="K393" s="92"/>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2"/>
      <c r="K394" s="92"/>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2"/>
      <c r="K395" s="92"/>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2"/>
      <c r="K396" s="92"/>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2"/>
      <c r="K397" s="92"/>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2"/>
      <c r="K398" s="92"/>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2"/>
      <c r="K399" s="92"/>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2"/>
      <c r="K400" s="92"/>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2"/>
      <c r="K401" s="92"/>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2"/>
      <c r="K402" s="92"/>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2"/>
      <c r="K403" s="92"/>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2"/>
      <c r="K404" s="92"/>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2"/>
      <c r="K405" s="92"/>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2"/>
      <c r="K406" s="92"/>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2"/>
      <c r="K407" s="92"/>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2"/>
      <c r="K408" s="92"/>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2"/>
      <c r="K409" s="92"/>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2"/>
      <c r="K410" s="92"/>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2"/>
      <c r="K411" s="92"/>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2"/>
      <c r="K412" s="92"/>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2"/>
      <c r="K413" s="92"/>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2"/>
      <c r="K414" s="92"/>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2"/>
      <c r="K415" s="92"/>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2"/>
      <c r="K416" s="92"/>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2"/>
      <c r="K417" s="92"/>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2"/>
      <c r="K418" s="92"/>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2"/>
      <c r="K419" s="92"/>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2"/>
      <c r="K420" s="92"/>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2"/>
      <c r="K421" s="92"/>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2"/>
      <c r="K422" s="92"/>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2"/>
      <c r="K423" s="92"/>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2"/>
      <c r="K424" s="92"/>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2"/>
      <c r="K425" s="92"/>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2"/>
      <c r="K426" s="92"/>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2"/>
      <c r="K427" s="92"/>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2"/>
      <c r="K428" s="92"/>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2"/>
      <c r="K429" s="92"/>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2"/>
      <c r="K430" s="92"/>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2"/>
      <c r="K431" s="92"/>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2"/>
      <c r="K432" s="92"/>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2"/>
      <c r="K433" s="92"/>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2"/>
      <c r="K434" s="92"/>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2"/>
      <c r="K435" s="92"/>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2"/>
      <c r="K436" s="92"/>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2"/>
      <c r="K437" s="92"/>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2"/>
      <c r="K438" s="92"/>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2"/>
      <c r="K439" s="92"/>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2"/>
      <c r="K440" s="92"/>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2"/>
      <c r="K441" s="92"/>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2"/>
      <c r="K442" s="92"/>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2"/>
      <c r="K443" s="92"/>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2"/>
      <c r="K444" s="92"/>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2"/>
      <c r="K445" s="92"/>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2"/>
      <c r="K446" s="92"/>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2"/>
      <c r="K447" s="92"/>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2"/>
      <c r="K448" s="92"/>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2"/>
      <c r="K449" s="92"/>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2"/>
      <c r="K450" s="92"/>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2"/>
      <c r="K451" s="92"/>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2"/>
      <c r="K452" s="92"/>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2"/>
      <c r="K453" s="92"/>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2"/>
      <c r="K454" s="92"/>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2"/>
      <c r="K455" s="92"/>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2"/>
      <c r="K456" s="92"/>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2"/>
      <c r="K457" s="92"/>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2"/>
      <c r="K458" s="92"/>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2"/>
      <c r="K459" s="92"/>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2"/>
      <c r="K460" s="92"/>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2"/>
      <c r="K461" s="92"/>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2"/>
      <c r="K462" s="92"/>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2"/>
      <c r="K463" s="92"/>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2"/>
      <c r="K464" s="92"/>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2"/>
      <c r="K465" s="92"/>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2"/>
      <c r="K466" s="92"/>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2"/>
      <c r="K467" s="92"/>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2"/>
      <c r="K468" s="92"/>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2"/>
      <c r="K469" s="92"/>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2"/>
      <c r="K470" s="92"/>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2"/>
      <c r="K471" s="92"/>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2"/>
      <c r="K472" s="92"/>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2"/>
      <c r="K473" s="92"/>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2"/>
      <c r="K474" s="92"/>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2"/>
      <c r="K475" s="92"/>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2"/>
      <c r="K476" s="92"/>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2"/>
      <c r="K477" s="92"/>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2"/>
      <c r="K478" s="92"/>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2"/>
      <c r="K479" s="92"/>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2"/>
      <c r="K480" s="92"/>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2"/>
      <c r="K481" s="92"/>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2"/>
      <c r="K482" s="92"/>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2"/>
      <c r="K483" s="92"/>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2"/>
      <c r="K484" s="92"/>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2"/>
      <c r="K485" s="92"/>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2"/>
      <c r="K486" s="92"/>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2"/>
      <c r="K487" s="92"/>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2"/>
      <c r="K488" s="92"/>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2"/>
      <c r="K489" s="92"/>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2"/>
      <c r="K490" s="92"/>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2"/>
      <c r="K491" s="92"/>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2"/>
      <c r="K492" s="92"/>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2"/>
      <c r="K493" s="92"/>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2"/>
      <c r="K494" s="92"/>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2"/>
      <c r="K495" s="92"/>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c r="B496" s="38"/>
      <c r="C496" s="78"/>
      <c r="D496" s="78"/>
      <c r="E496" s="78"/>
      <c r="F496" s="78"/>
      <c r="G496" s="38"/>
      <c r="H496" s="78"/>
      <c r="I496" s="82"/>
      <c r="J496" s="92"/>
      <c r="K496" s="92"/>
      <c r="L496" s="57"/>
      <c r="M496" s="58"/>
      <c r="N496" s="55"/>
      <c r="O496" s="55"/>
      <c r="P496" s="38"/>
      <c r="Q496" s="55"/>
      <c r="R496" s="38"/>
      <c r="S496" s="38"/>
      <c r="T496" s="78"/>
      <c r="U496" s="38"/>
      <c r="V496" s="38"/>
      <c r="W496" s="38"/>
      <c r="X496" s="38"/>
      <c r="Y496" s="60"/>
      <c r="Z496" s="60"/>
      <c r="AA496" s="38"/>
      <c r="AB496" s="78"/>
      <c r="AC496" s="78"/>
      <c r="AD496" s="78"/>
      <c r="AE496" s="78"/>
      <c r="AF496" s="78"/>
      <c r="AG496" s="55"/>
      <c r="AH496" s="38"/>
      <c r="AI496" s="38"/>
      <c r="AJ496" s="38"/>
      <c r="AK496" s="38"/>
      <c r="AL496" s="38"/>
      <c r="AM496" s="38"/>
    </row>
    <row r="497" spans="1:39">
      <c r="A497" s="38"/>
      <c r="B497" s="38"/>
      <c r="C497" s="78"/>
      <c r="D497" s="78"/>
      <c r="E497" s="78"/>
      <c r="F497" s="78"/>
      <c r="G497" s="38"/>
      <c r="H497" s="78"/>
      <c r="I497" s="82"/>
      <c r="J497" s="92"/>
      <c r="K497" s="92"/>
      <c r="L497" s="57"/>
      <c r="M497" s="58"/>
      <c r="N497" s="55"/>
      <c r="O497" s="55"/>
      <c r="P497" s="38"/>
      <c r="Q497" s="55"/>
      <c r="R497" s="38"/>
      <c r="S497" s="38"/>
      <c r="T497" s="78"/>
      <c r="U497" s="38"/>
      <c r="V497" s="38"/>
      <c r="W497" s="38"/>
      <c r="X497" s="38"/>
      <c r="Y497" s="60"/>
      <c r="Z497" s="60"/>
      <c r="AA497" s="38"/>
      <c r="AB497" s="78"/>
      <c r="AC497" s="78"/>
      <c r="AD497" s="78"/>
      <c r="AE497" s="78"/>
      <c r="AF497" s="78"/>
      <c r="AG497" s="55"/>
      <c r="AH497" s="38"/>
      <c r="AI497" s="38"/>
      <c r="AJ497" s="38"/>
      <c r="AK497" s="38"/>
      <c r="AL497" s="38"/>
      <c r="AM497" s="38"/>
    </row>
    <row r="498" spans="1:39">
      <c r="A498" s="38"/>
      <c r="B498" s="38"/>
      <c r="C498" s="78"/>
      <c r="D498" s="78"/>
      <c r="E498" s="78"/>
      <c r="F498" s="78"/>
      <c r="G498" s="38"/>
      <c r="H498" s="78"/>
      <c r="I498" s="82"/>
      <c r="J498" s="92"/>
      <c r="K498" s="92"/>
      <c r="L498" s="57"/>
      <c r="M498" s="58"/>
      <c r="N498" s="55"/>
      <c r="O498" s="55"/>
      <c r="P498" s="38"/>
      <c r="Q498" s="55"/>
      <c r="R498" s="38"/>
      <c r="S498" s="38"/>
      <c r="T498" s="78"/>
      <c r="U498" s="38"/>
      <c r="V498" s="38"/>
      <c r="W498" s="38"/>
      <c r="X498" s="38"/>
      <c r="Y498" s="60"/>
      <c r="Z498" s="60"/>
      <c r="AA498" s="38"/>
      <c r="AB498" s="78"/>
      <c r="AC498" s="78"/>
      <c r="AD498" s="78"/>
      <c r="AE498" s="78"/>
      <c r="AF498" s="78"/>
      <c r="AG498" s="55"/>
      <c r="AH498" s="38"/>
      <c r="AI498" s="38"/>
      <c r="AJ498" s="38"/>
      <c r="AK498" s="38"/>
      <c r="AL498" s="38"/>
      <c r="AM498" s="38"/>
    </row>
    <row r="499" spans="1:39">
      <c r="A499" s="38"/>
      <c r="B499" s="38"/>
      <c r="C499" s="78"/>
      <c r="D499" s="78"/>
      <c r="E499" s="78"/>
      <c r="F499" s="78"/>
      <c r="G499" s="38"/>
      <c r="H499" s="78"/>
      <c r="I499" s="82"/>
      <c r="J499" s="92"/>
      <c r="K499" s="92"/>
      <c r="L499" s="57"/>
      <c r="M499" s="58"/>
      <c r="N499" s="55"/>
      <c r="O499" s="55"/>
      <c r="P499" s="38"/>
      <c r="Q499" s="55"/>
      <c r="R499" s="38"/>
      <c r="S499" s="38"/>
      <c r="T499" s="78"/>
      <c r="U499" s="38"/>
      <c r="V499" s="38"/>
      <c r="W499" s="38"/>
      <c r="X499" s="38"/>
      <c r="Y499" s="60"/>
      <c r="Z499" s="60"/>
      <c r="AA499" s="38"/>
      <c r="AB499" s="78"/>
      <c r="AC499" s="78"/>
      <c r="AD499" s="78"/>
      <c r="AE499" s="78"/>
      <c r="AF499" s="78"/>
      <c r="AG499" s="55"/>
      <c r="AH499" s="38"/>
      <c r="AI499" s="38"/>
      <c r="AJ499" s="38"/>
      <c r="AK499" s="38"/>
      <c r="AL499" s="38"/>
      <c r="AM499" s="38"/>
    </row>
    <row r="500" spans="1:39">
      <c r="A500" s="38"/>
      <c r="B500" s="38"/>
      <c r="C500" s="78"/>
      <c r="D500" s="78"/>
      <c r="E500" s="78"/>
      <c r="F500" s="78"/>
      <c r="G500" s="38"/>
      <c r="H500" s="78"/>
      <c r="I500" s="82"/>
      <c r="J500" s="92"/>
      <c r="K500" s="92"/>
      <c r="L500" s="57"/>
      <c r="M500" s="58"/>
      <c r="N500" s="55"/>
      <c r="O500" s="55"/>
      <c r="P500" s="38"/>
      <c r="Q500" s="55"/>
      <c r="R500" s="38"/>
      <c r="S500" s="38"/>
      <c r="T500" s="78"/>
      <c r="U500" s="38"/>
      <c r="V500" s="38"/>
      <c r="W500" s="38"/>
      <c r="X500" s="38"/>
      <c r="Y500" s="60"/>
      <c r="Z500" s="60"/>
      <c r="AA500" s="38"/>
      <c r="AB500" s="78"/>
      <c r="AC500" s="78"/>
      <c r="AD500" s="78"/>
      <c r="AE500" s="78"/>
      <c r="AF500" s="78"/>
      <c r="AG500" s="55"/>
      <c r="AH500" s="38"/>
      <c r="AI500" s="38"/>
      <c r="AJ500" s="38"/>
      <c r="AK500" s="38"/>
      <c r="AL500" s="38"/>
      <c r="AM500" s="38"/>
    </row>
  </sheetData>
  <phoneticPr fontId="2"/>
  <conditionalFormatting sqref="AA7:AA8">
    <cfRule type="expression" dxfId="16" priority="387">
      <formula>AA7=""</formula>
    </cfRule>
  </conditionalFormatting>
  <conditionalFormatting sqref="AA9">
    <cfRule type="expression" dxfId="15" priority="358">
      <formula>AA9=""</formula>
    </cfRule>
  </conditionalFormatting>
  <conditionalFormatting sqref="AA10">
    <cfRule type="expression" dxfId="14" priority="335">
      <formula>AA10=""</formula>
    </cfRule>
  </conditionalFormatting>
  <conditionalFormatting sqref="AA11">
    <cfRule type="expression" dxfId="13" priority="313">
      <formula>AA11=""</formula>
    </cfRule>
  </conditionalFormatting>
  <conditionalFormatting sqref="AA12">
    <cfRule type="expression" dxfId="12" priority="290">
      <formula>AA12=""</formula>
    </cfRule>
  </conditionalFormatting>
  <conditionalFormatting sqref="AA13">
    <cfRule type="expression" dxfId="11" priority="267">
      <formula>AA13=""</formula>
    </cfRule>
  </conditionalFormatting>
  <conditionalFormatting sqref="AA14">
    <cfRule type="expression" dxfId="10" priority="244">
      <formula>AA14=""</formula>
    </cfRule>
  </conditionalFormatting>
  <conditionalFormatting sqref="AA15">
    <cfRule type="expression" dxfId="9" priority="221">
      <formula>AA15=""</formula>
    </cfRule>
  </conditionalFormatting>
  <conditionalFormatting sqref="AA16">
    <cfRule type="expression" dxfId="8" priority="198">
      <formula>AA16=""</formula>
    </cfRule>
  </conditionalFormatting>
  <conditionalFormatting sqref="AA17">
    <cfRule type="expression" dxfId="7" priority="175">
      <formula>AA17=""</formula>
    </cfRule>
  </conditionalFormatting>
  <conditionalFormatting sqref="AA18">
    <cfRule type="expression" dxfId="6" priority="149">
      <formula>AA18=""</formula>
    </cfRule>
  </conditionalFormatting>
  <conditionalFormatting sqref="AA19">
    <cfRule type="expression" dxfId="5" priority="128">
      <formula>AA19=""</formula>
    </cfRule>
  </conditionalFormatting>
  <conditionalFormatting sqref="AA20">
    <cfRule type="expression" dxfId="4" priority="96">
      <formula>AA20=""</formula>
    </cfRule>
  </conditionalFormatting>
  <conditionalFormatting sqref="AA22">
    <cfRule type="expression" dxfId="3" priority="46">
      <formula>AA22=""</formula>
    </cfRule>
  </conditionalFormatting>
  <conditionalFormatting sqref="AA21">
    <cfRule type="expression" dxfId="2" priority="14">
      <formula>AA21=""</formula>
    </cfRule>
  </conditionalFormatting>
  <conditionalFormatting sqref="AA23">
    <cfRule type="expression" dxfId="1" priority="10">
      <formula>AA23=""</formula>
    </cfRule>
  </conditionalFormatting>
  <conditionalFormatting sqref="G7:G1048576 J7:K1048576 O7:O1048576 U7:W1048576 Y7:Z1048576 AH7:AL1048576 B7:B1048576">
    <cfRule type="cellIs" dxfId="0" priority="7" operator="equal">
      <formula>""</formula>
    </cfRule>
  </conditionalFormatting>
  <dataValidations count="1">
    <dataValidation type="textLength" operator="lessThanOrEqual" allowBlank="1" showInputMessage="1" showErrorMessage="1" errorTitle="文字数オーバー" error="入力可能な文字数を超えています。" sqref="C7:AG500 AK7:AM500" xr:uid="{43250004-DCB5-49CA-BA5C-90679BBBDCAA}">
      <formula1>C$6</formula1>
    </dataValidation>
  </dataValidations>
  <hyperlinks>
    <hyperlink ref="AG7" r:id="rId1" xr:uid="{8396CFFE-9921-4E1C-981B-0232F73363A0}"/>
    <hyperlink ref="AG8" r:id="rId2" xr:uid="{C708E44F-239C-4D2A-BB19-0E7DFDD17287}"/>
    <hyperlink ref="AG9" r:id="rId3" xr:uid="{54BF5D6B-71D1-4414-AB17-41B3F2EC7E05}"/>
    <hyperlink ref="AG10" r:id="rId4" xr:uid="{51609DB9-0AF4-41C1-B9AB-19787DA06FE0}"/>
    <hyperlink ref="AG11" r:id="rId5" xr:uid="{8351CE5D-E8FA-45CE-9231-399C094CAE41}"/>
    <hyperlink ref="AG12" r:id="rId6" xr:uid="{678C82C0-CCA1-4F4A-A561-EAE6367475B1}"/>
    <hyperlink ref="AG13" r:id="rId7" xr:uid="{39A46E18-3BED-4171-8F43-CB5FCDB6E14C}"/>
    <hyperlink ref="AG14" r:id="rId8" xr:uid="{CD87DB49-283C-4BCF-8138-1B4E5B363470}"/>
    <hyperlink ref="AG15" r:id="rId9" xr:uid="{92B8AE07-CFBA-4638-A128-01C6ACBF5454}"/>
    <hyperlink ref="AG16" r:id="rId10" xr:uid="{DA18EE60-F3F6-49FF-A2AD-ABD204642BF2}"/>
    <hyperlink ref="AG17" r:id="rId11" xr:uid="{906EE49B-44FB-431C-8647-B2858B72DF65}"/>
    <hyperlink ref="AG18" r:id="rId12" xr:uid="{C25DFE59-9014-4425-9744-1731C92019EE}"/>
    <hyperlink ref="AG19" r:id="rId13" xr:uid="{9BCC70C5-15E7-4568-9465-783FA179FB7A}"/>
    <hyperlink ref="AG20" r:id="rId14" xr:uid="{999D54C8-B0BA-4230-9B56-409498E28B3F}"/>
    <hyperlink ref="AG21" r:id="rId15" xr:uid="{5205F839-B3ED-464A-B6FF-DE9848375139}"/>
    <hyperlink ref="AG22" r:id="rId16" xr:uid="{34964427-D708-48FE-9A13-D4AF41F20DA3}"/>
    <hyperlink ref="AG23" r:id="rId17" xr:uid="{AB718A48-BE7E-4499-B3E9-4655CC537E40}"/>
  </hyperlinks>
  <pageMargins left="0.23622047244094491" right="0.23622047244094491" top="0.74803149606299213" bottom="0.74803149606299213" header="0" footer="0"/>
  <pageSetup paperSize="9" fitToHeight="0" orientation="landscape" r:id="rId18"/>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80284E20-6D0C-4332-B69F-146D955955BD}">
          <x14:formula1>
            <xm:f>リスト!$B$2:$B$11</xm:f>
          </x14:formula1>
          <xm:sqref>AH7</xm:sqref>
        </x14:dataValidation>
        <x14:dataValidation type="list" operator="lessThanOrEqual" allowBlank="1" showInputMessage="1" showErrorMessage="1" error="プルダウンの中から設定してください。" xr:uid="{1D103853-BFA1-4922-B1FE-3DB22CC65B07}">
          <x14:formula1>
            <xm:f>リスト!$B$2:$B$11</xm:f>
          </x14:formula1>
          <xm:sqref>AH8:AH500</xm:sqref>
        </x14:dataValidation>
        <x14:dataValidation type="list" operator="lessThanOrEqual" allowBlank="1" showInputMessage="1" showErrorMessage="1" error="プルダウンの中から選択してください。" xr:uid="{0E8FFFF1-4173-48D1-99FB-DE0CA957138F}">
          <x14:formula1>
            <xm:f>リスト!$C$2:$C$7</xm:f>
          </x14:formula1>
          <xm:sqref>AI7:AI500</xm:sqref>
        </x14:dataValidation>
        <x14:dataValidation type="list" allowBlank="1" showInputMessage="1" showErrorMessage="1" error="プルダウンの中から選択してください。" xr:uid="{50ACAFEB-769A-4F31-9230-41868145C83C}">
          <x14:formula1>
            <xm:f>リスト!$D$2:$D$6</xm:f>
          </x14:formula1>
          <xm:sqref>AJ7:AJ500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C1001"/>
  <sheetViews>
    <sheetView workbookViewId="0">
      <pane ySplit="3" topLeftCell="A4" activePane="bottomLeft" state="frozen"/>
      <selection pane="bottomLeft" activeCell="A4" sqref="A4"/>
    </sheetView>
  </sheetViews>
  <sheetFormatPr baseColWidth="10" defaultColWidth="14.5" defaultRowHeight="14"/>
  <cols>
    <col min="1" max="1" width="6.5" style="24" customWidth="1"/>
    <col min="2" max="3" width="26.5" style="24" customWidth="1"/>
    <col min="4" max="4" width="14" style="24" bestFit="1" customWidth="1"/>
    <col min="5" max="5" width="7.5" style="24" customWidth="1"/>
    <col min="6" max="6" width="65.5" style="24" customWidth="1"/>
    <col min="7" max="7" width="28.1640625" style="24" customWidth="1"/>
    <col min="8" max="8" width="38.5" style="24" customWidth="1"/>
    <col min="9" max="9" width="17.1640625" style="24" bestFit="1" customWidth="1"/>
    <col min="10" max="16" width="13.5" style="24" customWidth="1"/>
    <col min="17" max="29" width="9" style="24" customWidth="1"/>
    <col min="30" max="16384" width="14.5" style="24"/>
  </cols>
  <sheetData>
    <row r="1" spans="1:29" ht="17">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7">
      <c r="A2" s="98" t="s">
        <v>0</v>
      </c>
      <c r="B2" s="96"/>
      <c r="C2" s="99"/>
      <c r="D2" s="99"/>
      <c r="E2" s="96"/>
      <c r="F2" s="96"/>
      <c r="G2" s="96"/>
      <c r="H2" s="96"/>
      <c r="I2" s="96"/>
      <c r="J2" s="95" t="s">
        <v>1</v>
      </c>
      <c r="K2" s="96"/>
      <c r="L2" s="96"/>
      <c r="M2" s="96"/>
      <c r="N2" s="96"/>
      <c r="O2" s="96"/>
      <c r="P2" s="97"/>
      <c r="Q2" s="22"/>
      <c r="R2" s="22"/>
      <c r="S2" s="22"/>
      <c r="T2" s="22"/>
      <c r="U2" s="22"/>
      <c r="V2" s="22"/>
      <c r="W2" s="22"/>
      <c r="X2" s="22"/>
      <c r="Y2" s="22"/>
      <c r="Z2" s="22"/>
      <c r="AA2" s="22"/>
      <c r="AB2" s="22"/>
      <c r="AC2" s="22"/>
    </row>
    <row r="3" spans="1:29" ht="36">
      <c r="A3" s="25" t="s">
        <v>2</v>
      </c>
      <c r="B3" s="26" t="s">
        <v>164</v>
      </c>
      <c r="C3" s="26" t="s">
        <v>165</v>
      </c>
      <c r="D3" s="26" t="s">
        <v>290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54">
      <c r="A4" s="2">
        <f t="shared" ref="A4:A41" si="0">ROW()-3</f>
        <v>1</v>
      </c>
      <c r="B4" s="2" t="s">
        <v>295</v>
      </c>
      <c r="C4" s="2" t="s">
        <v>296</v>
      </c>
      <c r="D4" s="84" t="s">
        <v>286</v>
      </c>
      <c r="E4" s="35">
        <v>1</v>
      </c>
      <c r="F4" s="2" t="s">
        <v>298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36">
      <c r="A5" s="2">
        <f t="shared" si="0"/>
        <v>2</v>
      </c>
      <c r="B5" s="2" t="s">
        <v>15</v>
      </c>
      <c r="C5" s="2" t="s">
        <v>168</v>
      </c>
      <c r="D5" s="84" t="s">
        <v>285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36">
      <c r="A6" s="2">
        <f t="shared" si="0"/>
        <v>3</v>
      </c>
      <c r="B6" s="2" t="s">
        <v>18</v>
      </c>
      <c r="C6" s="2" t="s">
        <v>166</v>
      </c>
      <c r="D6" s="84" t="s">
        <v>285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8">
      <c r="A7" s="2">
        <f t="shared" si="0"/>
        <v>4</v>
      </c>
      <c r="B7" s="2" t="s">
        <v>21</v>
      </c>
      <c r="C7" s="2" t="s">
        <v>169</v>
      </c>
      <c r="D7" s="84" t="s">
        <v>285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6">
      <c r="A8" s="2">
        <f t="shared" si="0"/>
        <v>5</v>
      </c>
      <c r="B8" s="2" t="s">
        <v>24</v>
      </c>
      <c r="C8" s="2" t="s">
        <v>170</v>
      </c>
      <c r="D8" s="84" t="s">
        <v>285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6">
      <c r="A9" s="2">
        <f t="shared" si="0"/>
        <v>6</v>
      </c>
      <c r="B9" s="2" t="s">
        <v>26</v>
      </c>
      <c r="C9" s="2" t="s">
        <v>171</v>
      </c>
      <c r="D9" s="85" t="s">
        <v>286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6">
      <c r="A10" s="2">
        <f t="shared" si="0"/>
        <v>7</v>
      </c>
      <c r="B10" s="2" t="s">
        <v>29</v>
      </c>
      <c r="C10" s="2" t="s">
        <v>172</v>
      </c>
      <c r="D10" s="84" t="s">
        <v>285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8">
      <c r="A11" s="2">
        <f t="shared" si="0"/>
        <v>8</v>
      </c>
      <c r="B11" s="2" t="s">
        <v>32</v>
      </c>
      <c r="C11" s="2" t="s">
        <v>173</v>
      </c>
      <c r="D11" s="84" t="s">
        <v>285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6">
      <c r="A12" s="2">
        <f t="shared" si="0"/>
        <v>9</v>
      </c>
      <c r="B12" s="2" t="s">
        <v>35</v>
      </c>
      <c r="C12" s="2" t="s">
        <v>167</v>
      </c>
      <c r="D12" s="85" t="s">
        <v>286</v>
      </c>
      <c r="E12" s="35"/>
      <c r="F12" s="2" t="s">
        <v>36</v>
      </c>
      <c r="G12" s="2" t="s">
        <v>206</v>
      </c>
      <c r="H12" s="30" t="s">
        <v>291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6">
      <c r="A13" s="2">
        <f t="shared" si="0"/>
        <v>10</v>
      </c>
      <c r="B13" s="2" t="s">
        <v>37</v>
      </c>
      <c r="C13" s="2" t="s">
        <v>174</v>
      </c>
      <c r="D13" s="85" t="s">
        <v>286</v>
      </c>
      <c r="E13" s="35"/>
      <c r="F13" s="2" t="s">
        <v>36</v>
      </c>
      <c r="G13" s="2" t="s">
        <v>206</v>
      </c>
      <c r="H13" s="30" t="s">
        <v>291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6">
      <c r="A14" s="2">
        <f t="shared" si="0"/>
        <v>11</v>
      </c>
      <c r="B14" s="2" t="s">
        <v>38</v>
      </c>
      <c r="C14" s="2" t="s">
        <v>175</v>
      </c>
      <c r="D14" s="86" t="s">
        <v>287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6">
      <c r="A15" s="2">
        <f t="shared" si="0"/>
        <v>12</v>
      </c>
      <c r="B15" s="2" t="s">
        <v>41</v>
      </c>
      <c r="C15" s="2" t="s">
        <v>176</v>
      </c>
      <c r="D15" s="86" t="s">
        <v>287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18">
      <c r="A16" s="2">
        <f t="shared" si="0"/>
        <v>13</v>
      </c>
      <c r="B16" s="33" t="s">
        <v>43</v>
      </c>
      <c r="C16" s="33" t="s">
        <v>177</v>
      </c>
      <c r="D16" s="86" t="s">
        <v>287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72">
      <c r="A17" s="2">
        <f t="shared" si="0"/>
        <v>14</v>
      </c>
      <c r="B17" s="2" t="s">
        <v>4</v>
      </c>
      <c r="C17" s="2" t="s">
        <v>178</v>
      </c>
      <c r="D17" s="85" t="s">
        <v>286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8">
      <c r="A18" s="2">
        <f t="shared" si="0"/>
        <v>15</v>
      </c>
      <c r="B18" s="2" t="s">
        <v>48</v>
      </c>
      <c r="C18" s="2" t="s">
        <v>179</v>
      </c>
      <c r="D18" s="85" t="s">
        <v>287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6">
      <c r="A19" s="2">
        <f t="shared" si="0"/>
        <v>16</v>
      </c>
      <c r="B19" s="2" t="s">
        <v>51</v>
      </c>
      <c r="C19" s="2" t="s">
        <v>180</v>
      </c>
      <c r="D19" s="85" t="s">
        <v>287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8">
      <c r="A20" s="2">
        <f t="shared" si="0"/>
        <v>17</v>
      </c>
      <c r="B20" s="2" t="s">
        <v>54</v>
      </c>
      <c r="C20" s="2" t="s">
        <v>181</v>
      </c>
      <c r="D20" s="85" t="s">
        <v>287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6">
      <c r="A21" s="2">
        <f t="shared" si="0"/>
        <v>18</v>
      </c>
      <c r="B21" s="2" t="s">
        <v>57</v>
      </c>
      <c r="C21" s="2" t="s">
        <v>182</v>
      </c>
      <c r="D21" s="85" t="s">
        <v>287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6">
      <c r="A22" s="2">
        <f t="shared" si="0"/>
        <v>19</v>
      </c>
      <c r="B22" s="2" t="s">
        <v>61</v>
      </c>
      <c r="C22" s="2" t="s">
        <v>183</v>
      </c>
      <c r="D22" s="85" t="s">
        <v>287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8">
      <c r="A23" s="2">
        <f t="shared" si="0"/>
        <v>20</v>
      </c>
      <c r="B23" s="2" t="s">
        <v>63</v>
      </c>
      <c r="C23" s="2" t="s">
        <v>184</v>
      </c>
      <c r="D23" s="85" t="s">
        <v>286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8">
      <c r="A24" s="2">
        <f t="shared" si="0"/>
        <v>21</v>
      </c>
      <c r="B24" s="2" t="s">
        <v>65</v>
      </c>
      <c r="C24" s="2" t="s">
        <v>185</v>
      </c>
      <c r="D24" s="85" t="s">
        <v>286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6">
      <c r="A25" s="2">
        <f t="shared" si="0"/>
        <v>22</v>
      </c>
      <c r="B25" s="2" t="s">
        <v>68</v>
      </c>
      <c r="C25" s="2" t="s">
        <v>186</v>
      </c>
      <c r="D25" s="85" t="s">
        <v>286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8">
      <c r="A26" s="2">
        <f t="shared" si="0"/>
        <v>23</v>
      </c>
      <c r="B26" s="2" t="s">
        <v>71</v>
      </c>
      <c r="C26" s="2" t="s">
        <v>187</v>
      </c>
      <c r="D26" s="85" t="s">
        <v>287</v>
      </c>
      <c r="E26" s="35"/>
      <c r="F26" s="2" t="s">
        <v>72</v>
      </c>
      <c r="G26" s="2" t="s">
        <v>23</v>
      </c>
      <c r="H26" s="3"/>
      <c r="I26" s="3">
        <v>20</v>
      </c>
      <c r="J26" s="89"/>
      <c r="K26" s="89"/>
      <c r="L26" s="89" t="s">
        <v>19</v>
      </c>
      <c r="M26" s="89"/>
      <c r="N26" s="89"/>
      <c r="O26" s="89"/>
      <c r="P26" s="89"/>
      <c r="Q26" s="22"/>
      <c r="R26" s="22"/>
      <c r="S26" s="22"/>
      <c r="T26" s="22"/>
      <c r="U26" s="22"/>
      <c r="V26" s="22"/>
      <c r="W26" s="22"/>
      <c r="X26" s="22"/>
      <c r="Y26" s="22"/>
      <c r="Z26" s="22"/>
      <c r="AA26" s="22"/>
      <c r="AB26" s="22"/>
      <c r="AC26" s="22"/>
    </row>
    <row r="27" spans="1:29" ht="36">
      <c r="A27" s="2">
        <f t="shared" si="0"/>
        <v>24</v>
      </c>
      <c r="B27" s="2" t="s">
        <v>73</v>
      </c>
      <c r="C27" s="2" t="s">
        <v>188</v>
      </c>
      <c r="D27" s="85" t="s">
        <v>286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6">
      <c r="A28" s="2">
        <f t="shared" si="0"/>
        <v>25</v>
      </c>
      <c r="B28" s="2" t="s">
        <v>75</v>
      </c>
      <c r="C28" s="2" t="s">
        <v>189</v>
      </c>
      <c r="D28" s="85" t="s">
        <v>286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8">
      <c r="A29" s="2">
        <f t="shared" si="0"/>
        <v>26</v>
      </c>
      <c r="B29" s="2" t="s">
        <v>77</v>
      </c>
      <c r="C29" s="2" t="s">
        <v>190</v>
      </c>
      <c r="D29" s="85" t="s">
        <v>287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8">
      <c r="A30" s="2">
        <f t="shared" si="0"/>
        <v>27</v>
      </c>
      <c r="B30" s="2" t="s">
        <v>80</v>
      </c>
      <c r="C30" s="2" t="s">
        <v>191</v>
      </c>
      <c r="D30" s="85" t="s">
        <v>288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8">
      <c r="A31" s="2">
        <f t="shared" si="0"/>
        <v>28</v>
      </c>
      <c r="B31" s="2" t="s">
        <v>82</v>
      </c>
      <c r="C31" s="2" t="s">
        <v>192</v>
      </c>
      <c r="D31" s="85" t="s">
        <v>288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6">
      <c r="A32" s="2">
        <f t="shared" si="0"/>
        <v>29</v>
      </c>
      <c r="B32" s="2" t="s">
        <v>84</v>
      </c>
      <c r="C32" s="2" t="s">
        <v>193</v>
      </c>
      <c r="D32" s="85" t="s">
        <v>288</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6">
      <c r="A33" s="2">
        <f t="shared" si="0"/>
        <v>30</v>
      </c>
      <c r="B33" s="2" t="s">
        <v>86</v>
      </c>
      <c r="C33" s="2" t="s">
        <v>194</v>
      </c>
      <c r="D33" s="85" t="s">
        <v>288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8">
      <c r="A34" s="2">
        <f t="shared" si="0"/>
        <v>31</v>
      </c>
      <c r="B34" s="2" t="s">
        <v>88</v>
      </c>
      <c r="C34" s="2" t="s">
        <v>195</v>
      </c>
      <c r="D34" s="85" t="s">
        <v>288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6">
      <c r="A35" s="2">
        <f t="shared" si="0"/>
        <v>32</v>
      </c>
      <c r="B35" s="2" t="s">
        <v>90</v>
      </c>
      <c r="C35" s="2" t="s">
        <v>196</v>
      </c>
      <c r="D35" s="85" t="s">
        <v>287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8">
      <c r="A36" s="2">
        <f t="shared" si="0"/>
        <v>33</v>
      </c>
      <c r="B36" s="2" t="s">
        <v>94</v>
      </c>
      <c r="C36" s="2" t="s">
        <v>197</v>
      </c>
      <c r="D36" s="85" t="s">
        <v>286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8">
      <c r="A37" s="2">
        <f t="shared" si="0"/>
        <v>34</v>
      </c>
      <c r="B37" s="2" t="s">
        <v>97</v>
      </c>
      <c r="C37" s="2" t="s">
        <v>198</v>
      </c>
      <c r="D37" s="85" t="s">
        <v>286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6">
      <c r="A38" s="2">
        <f t="shared" si="0"/>
        <v>35</v>
      </c>
      <c r="B38" s="2" t="s">
        <v>100</v>
      </c>
      <c r="C38" s="2" t="s">
        <v>199</v>
      </c>
      <c r="D38" s="85" t="s">
        <v>286</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8">
      <c r="A39" s="2">
        <f t="shared" si="0"/>
        <v>36</v>
      </c>
      <c r="B39" s="2" t="s">
        <v>103</v>
      </c>
      <c r="C39" s="2" t="s">
        <v>200</v>
      </c>
      <c r="D39" s="85" t="s">
        <v>286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8">
      <c r="A40" s="2">
        <f t="shared" si="0"/>
        <v>37</v>
      </c>
      <c r="B40" s="2" t="s">
        <v>105</v>
      </c>
      <c r="C40" s="2" t="s">
        <v>201</v>
      </c>
      <c r="D40" s="85" t="s">
        <v>286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8">
      <c r="A41" s="2">
        <f t="shared" si="0"/>
        <v>38</v>
      </c>
      <c r="B41" s="2" t="s">
        <v>108</v>
      </c>
      <c r="C41" s="2" t="s">
        <v>202</v>
      </c>
      <c r="D41" s="85" t="s">
        <v>287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7">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7">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7">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7">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7">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7">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7">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7">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7">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7">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7">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7">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7">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7">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7">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7">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7">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7">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7">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7">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7">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7">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7">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7">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7">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7">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7">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7">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7">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7">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7">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7">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7">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7">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7">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7">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7">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7">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7">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7">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7">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7">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7">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7">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7">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7">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7">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7">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7">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7">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7">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7">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7">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7">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7">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7">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7">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7">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7">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7">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7">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7">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7">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7">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7">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7">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7">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7">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7">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7">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7">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7">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7">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7">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7">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7">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7">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7">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7">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7">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7">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7">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7">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7">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7">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7">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7">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7">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7">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7">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7">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7">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7">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7">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7">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7">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7">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7">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7">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7">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7">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7">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7">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7">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7">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7">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7">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7">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7">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7">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7">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7">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7">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7">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7">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7">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7">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7">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7">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7">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7">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7">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7">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7">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7">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7">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7">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7">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7">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7">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7">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7">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7">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7">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7">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7">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7">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7">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7">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7">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7">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7">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7">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7">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7">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7">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7">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7">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7">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7">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7">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7">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7">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7">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7">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7">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7">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7">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7">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7">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7">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7">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7">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7">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7">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7">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7">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7">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7">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7">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7">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7">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7">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7">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7">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7">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7">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7">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7">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7">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7">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7">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7">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7">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7">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7">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7">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7">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7">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7">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7">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7">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7">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7">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7">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7">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7">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7">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7">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7">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7">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7">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7">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7">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7">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7">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7">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7">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7">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7">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7">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7">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7">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7">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7">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7">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7">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7">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7">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7">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7">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7">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7">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7">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7">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7">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7">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7">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7">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7">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7">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7">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7">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7">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7">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7">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7">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7">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7">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7">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7">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7">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7">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7">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7">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7">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7">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7">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7">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7">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7">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7">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7">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7">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7">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7">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7">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7">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7">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7">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7">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7">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7">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7">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7">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7">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7">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7">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7">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7">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7">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7">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7">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7">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7">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7">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7">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7">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7">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7">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7">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7">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7">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7">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7">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7">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7">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7">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7">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7">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7">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7">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7">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7">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7">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7">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7">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7">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7">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7">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7">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7">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7">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7">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7">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7">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7">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7">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7">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7">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7">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7">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7">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7">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7">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7">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7">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7">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7">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7">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7">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7">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7">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7">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7">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7">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7">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7">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7">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7">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7">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7">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7">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7">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7">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7">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7">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7">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7">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7">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7">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7">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7">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7">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7">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7">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7">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7">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7">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7">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7">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7">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7">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7">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7">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7">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7">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7">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7">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7">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7">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7">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7">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7">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7">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7">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7">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7">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7">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7">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7">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7">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7">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7">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7">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7">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7">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7">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7">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7">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7">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7">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7">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7">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7">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7">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7">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7">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7">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7">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7">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7">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7">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7">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7">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7">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7">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7">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7">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7">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7">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7">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7">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7">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7">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7">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7">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7">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7">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7">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7">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7">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7">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7">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7">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7">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7">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7">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7">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7">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7">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7">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7">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7">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7">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7">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7">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7">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7">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7">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7">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7">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7">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7">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7">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7">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7">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7">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7">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7">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7">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7">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7">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7">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7">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7">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7">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7">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7">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7">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7">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7">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7">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7">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7">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7">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7">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7">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7">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7">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7">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7">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7">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7">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7">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7">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7">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7">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7">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7">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7">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7">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7">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7">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7">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7">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7">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7">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7">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7">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7">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7">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7">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7">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7">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7">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7">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7">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7">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7">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7">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7">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7">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7">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7">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7">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7">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7">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7">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7">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7">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7">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7">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7">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7">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7">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7">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7">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7">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7">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7">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7">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7">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7">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7">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7">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7">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7">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7">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7">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7">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7">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7">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7">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7">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7">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7">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7">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7">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7">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7">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7">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7">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7">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7">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7">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7">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7">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7">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7">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7">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7">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7">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7">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7">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7">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7">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7">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7">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7">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7">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7">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7">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7">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7">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7">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7">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7">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7">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7">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7">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7">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7">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7">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7">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7">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7">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7">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7">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7">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7">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7">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7">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7">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7">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7">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7">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7">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7">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7">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7">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7">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7">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7">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7">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7">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7">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7">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7">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7">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7">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7">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7">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7">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7">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7">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7">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7">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7">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7">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7">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7">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7">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7">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7">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7">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7">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7">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7">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7">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7">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7">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7">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7">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7">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7">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7">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7">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7">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7">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7">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7">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7">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7">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7">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7">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7">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7">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7">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7">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7">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7">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7">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7">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7">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7">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7">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7">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7">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7">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7">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7">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7">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7">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7">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7">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7">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7">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7">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7">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7">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7">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7">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7">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7">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7">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7">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7">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7">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7">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7">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7">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7">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7">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7">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7">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7">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7">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7">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7">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7">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7">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7">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7">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7">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7">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7">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7">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7">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7">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7">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7">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7">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7">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7">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7">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7">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7">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7">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7">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7">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7">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7">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7">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7">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7">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7">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7">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7">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7">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7">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7">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7">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7">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7">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7">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7">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7">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7">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7">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7">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7">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7">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7">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7">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7">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7">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7">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7">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7">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7">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7">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7">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7">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7">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7">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7">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7">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7">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7">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7">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7">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7">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7">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7">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7">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7">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7">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7">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7">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7">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7">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7">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7">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7">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7">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7">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7">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7">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7">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7">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7">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7">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7">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7">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7">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7">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7">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7">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7">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7">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7">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7">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7">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7">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7">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7">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7">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7">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7">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7">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7">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7">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7">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7">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7">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7">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7">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7">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7">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7">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7">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7">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7">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7">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7">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7">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7">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7">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7">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7">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7">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7">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7">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7">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7">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7">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7">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7">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7">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7">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7">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7">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7">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7">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7">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7">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7">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7">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7">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7">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7">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7">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7">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7">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7">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7">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7">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7">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7">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7">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7">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7">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7">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7">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7">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7">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7">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7">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7">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7">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7">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7">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7">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7">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7">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7">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7">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7">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7">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7">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7">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7">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7">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7">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7">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7">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7">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7">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7">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7">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7">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7">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7">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7">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7">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7">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7">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7">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7">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7">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7">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7">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7">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7">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7">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7">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7">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7">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7">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7">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7">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7">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7">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7">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7">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7">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7">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7">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7">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7">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7">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7">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7">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7">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7">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7">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7">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7">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7">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7">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7">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7">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7">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7">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7">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7">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7">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7">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7">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7">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7">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7">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7">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7">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7">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7">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7">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7">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7">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7">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7">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7">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7">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7">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7">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7">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7">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7">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7">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7">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7">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7">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7">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7">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7">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7">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7">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7">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7">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7">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7">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7">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7">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7">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7">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7">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7">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7">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7">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7">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7">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7">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7">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7">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7">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7">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7">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7">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7">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7">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7">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7">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7">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7">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7">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7">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7">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7">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7">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0000000}"/>
  <mergeCells count="2">
    <mergeCell ref="J2:P2"/>
    <mergeCell ref="A2:I2"/>
  </mergeCells>
  <phoneticPr fontId="2"/>
  <hyperlinks>
    <hyperlink ref="H35" r:id="rId1" xr:uid="{00000000-0004-0000-0000-000000000000}"/>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Z1000"/>
  <sheetViews>
    <sheetView topLeftCell="A40" workbookViewId="0">
      <selection activeCell="K59" sqref="K59"/>
    </sheetView>
  </sheetViews>
  <sheetFormatPr baseColWidth="10" defaultColWidth="14.5" defaultRowHeight="15" customHeight="1"/>
  <cols>
    <col min="1" max="23" width="4.5" style="5" customWidth="1"/>
    <col min="24" max="26" width="3.1640625" style="5" customWidth="1"/>
    <col min="27" max="16384" width="14.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292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4167-4305-44EC-917A-264BA8C5FC3E}">
  <sheetPr codeName="Sheet4"/>
  <dimension ref="B1:D11"/>
  <sheetViews>
    <sheetView workbookViewId="0"/>
  </sheetViews>
  <sheetFormatPr baseColWidth="10" defaultColWidth="9.1640625" defaultRowHeight="16"/>
  <cols>
    <col min="1" max="1" width="2.83203125" style="46" customWidth="1"/>
    <col min="2" max="2" width="18.5" style="46" bestFit="1" customWidth="1"/>
    <col min="3" max="3" width="8.5" style="46" bestFit="1" customWidth="1"/>
    <col min="4" max="4" width="17.83203125" style="46" bestFit="1" customWidth="1"/>
    <col min="5" max="16384" width="9.16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289</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data</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2023-06-08T05:52:38Z</dcterms:modified>
</cp:coreProperties>
</file>